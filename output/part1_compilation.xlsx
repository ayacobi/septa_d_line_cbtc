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n8\Documents\Urban Planning Projects\SEPTA D Lines\output\"/>
    </mc:Choice>
  </mc:AlternateContent>
  <xr:revisionPtr revIDLastSave="0" documentId="13_ncr:1_{57CDBEEA-E934-4AC9-8A69-B709455AECDB}" xr6:coauthVersionLast="47" xr6:coauthVersionMax="47" xr10:uidLastSave="{00000000-0000-0000-0000-000000000000}"/>
  <bookViews>
    <workbookView xWindow="3795" yWindow="-16320" windowWidth="29040" windowHeight="15720" tabRatio="763" xr2:uid="{00000000-000D-0000-FFFF-FFFF00000000}"/>
  </bookViews>
  <sheets>
    <sheet name="opex_comp" sheetId="23" r:id="rId1"/>
    <sheet name="accessibility_comp" sheetId="19" r:id="rId2"/>
    <sheet name="added_time_costs" sheetId="21" r:id="rId3"/>
    <sheet name="full_length_comp" sheetId="9" r:id="rId4"/>
    <sheet name="r_output &gt;&gt;" sheetId="4" r:id="rId5"/>
    <sheet name="trip_comparison &gt;" sheetId="10" r:id="rId6"/>
    <sheet name="route_shape_direction_day_comp" sheetId="1" r:id="rId7"/>
    <sheet name="route_shape_direction_comp" sheetId="2" r:id="rId8"/>
    <sheet name="route_shape_direction_bus_comp" sheetId="3" r:id="rId9"/>
    <sheet name="added_costs &gt;" sheetId="11" r:id="rId10"/>
    <sheet name="delta_opex" sheetId="12" r:id="rId11"/>
    <sheet name="delta_time_costs_min" sheetId="13" r:id="rId12"/>
    <sheet name="delta_time_costs_max" sheetId="14" r:id="rId13"/>
    <sheet name="delta_time_costs_estimate" sheetId="15" r:id="rId14"/>
    <sheet name="accessibility &gt;" sheetId="18" r:id="rId15"/>
    <sheet name="jobs_comp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3" l="1"/>
  <c r="I12" i="23"/>
  <c r="J12" i="23"/>
  <c r="K12" i="23"/>
  <c r="H13" i="23"/>
  <c r="I13" i="23"/>
  <c r="J13" i="23"/>
  <c r="K13" i="23"/>
  <c r="I11" i="23"/>
  <c r="J11" i="23"/>
  <c r="K11" i="23"/>
  <c r="H11" i="23"/>
  <c r="C12" i="23"/>
  <c r="D12" i="23"/>
  <c r="E12" i="23"/>
  <c r="F12" i="23"/>
  <c r="C13" i="23"/>
  <c r="D13" i="23"/>
  <c r="E13" i="23"/>
  <c r="F13" i="23"/>
  <c r="F11" i="23"/>
  <c r="D11" i="23"/>
  <c r="E11" i="23"/>
  <c r="C11" i="23"/>
  <c r="D9" i="21"/>
  <c r="D8" i="21"/>
  <c r="C9" i="21"/>
  <c r="C8" i="21"/>
  <c r="C9" i="19"/>
  <c r="D9" i="19"/>
  <c r="E9" i="19"/>
  <c r="C10" i="19"/>
  <c r="D10" i="19"/>
  <c r="E10" i="19"/>
  <c r="C11" i="19"/>
  <c r="D11" i="19"/>
  <c r="E11" i="19"/>
  <c r="D8" i="19"/>
  <c r="E8" i="19"/>
  <c r="C8" i="19"/>
  <c r="F9" i="19"/>
  <c r="F10" i="19"/>
  <c r="F11" i="19"/>
  <c r="F8" i="19"/>
  <c r="B9" i="19"/>
  <c r="B10" i="19"/>
  <c r="B11" i="19"/>
  <c r="B8" i="19"/>
  <c r="G9" i="9"/>
  <c r="H9" i="9"/>
  <c r="I9" i="9"/>
  <c r="J9" i="9"/>
  <c r="G10" i="9"/>
  <c r="H10" i="9"/>
  <c r="I10" i="9"/>
  <c r="J10" i="9"/>
  <c r="G11" i="9"/>
  <c r="H11" i="9"/>
  <c r="I11" i="9"/>
  <c r="J11" i="9"/>
  <c r="H8" i="9"/>
  <c r="I8" i="9"/>
  <c r="J8" i="9"/>
  <c r="J23" i="9"/>
  <c r="I23" i="9"/>
  <c r="H23" i="9"/>
  <c r="G23" i="9"/>
  <c r="J22" i="9"/>
  <c r="I22" i="9"/>
  <c r="H22" i="9"/>
  <c r="G22" i="9"/>
  <c r="J21" i="9"/>
  <c r="I21" i="9"/>
  <c r="H21" i="9"/>
  <c r="G21" i="9"/>
  <c r="J20" i="9"/>
  <c r="I20" i="9"/>
  <c r="H20" i="9"/>
  <c r="G20" i="9"/>
  <c r="G8" i="9"/>
</calcChain>
</file>

<file path=xl/sharedStrings.xml><?xml version="1.0" encoding="utf-8"?>
<sst xmlns="http://schemas.openxmlformats.org/spreadsheetml/2006/main" count="363" uniqueCount="92">
  <si>
    <t>day_of_week</t>
  </si>
  <si>
    <t>route_id</t>
  </si>
  <si>
    <t>start</t>
  </si>
  <si>
    <t>start_name</t>
  </si>
  <si>
    <t>end</t>
  </si>
  <si>
    <t>end_name</t>
  </si>
  <si>
    <t>num_trips_per_day</t>
  </si>
  <si>
    <t>num_trips_per_week</t>
  </si>
  <si>
    <t>distance_mi</t>
  </si>
  <si>
    <t>avg_duration_min_new</t>
  </si>
  <si>
    <t>avg_duration_min_old</t>
  </si>
  <si>
    <t>avg_duration_min_diff</t>
  </si>
  <si>
    <t>avg_duration_min_diff_perc</t>
  </si>
  <si>
    <t>avg_speed_mph_new</t>
  </si>
  <si>
    <t>avg_speed_mph_old</t>
  </si>
  <si>
    <t>avg_speed_mph_diff</t>
  </si>
  <si>
    <t>avg_speed_mph_diff_perc</t>
  </si>
  <si>
    <t>Weekday</t>
  </si>
  <si>
    <t>D1</t>
  </si>
  <si>
    <t>15497</t>
  </si>
  <si>
    <t>69th St Transit Center</t>
  </si>
  <si>
    <t>1947</t>
  </si>
  <si>
    <t>Orange St/Media</t>
  </si>
  <si>
    <t>1946</t>
  </si>
  <si>
    <t>Providence Rd/Media</t>
  </si>
  <si>
    <t>1943</t>
  </si>
  <si>
    <t>Woodland Av</t>
  </si>
  <si>
    <t>1948</t>
  </si>
  <si>
    <t>1949</t>
  </si>
  <si>
    <t>1952</t>
  </si>
  <si>
    <t>D2</t>
  </si>
  <si>
    <t>20431</t>
  </si>
  <si>
    <t>Chester Pike/Sharon Hill</t>
  </si>
  <si>
    <t>Saturday</t>
  </si>
  <si>
    <t>Sunday</t>
  </si>
  <si>
    <t>distance_mi_trolley</t>
  </si>
  <si>
    <t>distance_mi_bus</t>
  </si>
  <si>
    <t>avg_duration_min_trolley</t>
  </si>
  <si>
    <t>avg_duration_min_bus</t>
  </si>
  <si>
    <t>avg_speed_mph_trolley</t>
  </si>
  <si>
    <t>avg_speed_mph_bus</t>
  </si>
  <si>
    <t>Line</t>
  </si>
  <si>
    <t>Direction</t>
  </si>
  <si>
    <t>Northbound</t>
  </si>
  <si>
    <t>Southbound</t>
  </si>
  <si>
    <t>Start</t>
  </si>
  <si>
    <t>End</t>
  </si>
  <si>
    <t>Comparison of Full-Length Trips</t>
  </si>
  <si>
    <t>Post-CBTC</t>
  </si>
  <si>
    <t>Pre-CBTC</t>
  </si>
  <si>
    <t>minutes</t>
  </si>
  <si>
    <t>%</t>
  </si>
  <si>
    <t>mph</t>
  </si>
  <si>
    <t>Change</t>
  </si>
  <si>
    <t>annual_passengers</t>
  </si>
  <si>
    <t>avg_trip_time_new_min</t>
  </si>
  <si>
    <t>avg_trip_time_old_min</t>
  </si>
  <si>
    <t>avg_additional_time_min</t>
  </si>
  <si>
    <t>added_time_cost_per_pax</t>
  </si>
  <si>
    <t>added_time_cost_per_pax_day</t>
  </si>
  <si>
    <t>added_time_cost_per_pax_year</t>
  </si>
  <si>
    <t>added_time_cost_total_year</t>
  </si>
  <si>
    <t>from_id</t>
  </si>
  <si>
    <t>num_jobs_new</t>
  </si>
  <si>
    <t>num_jobs_old</t>
  </si>
  <si>
    <t>jobs_diff_num</t>
  </si>
  <si>
    <t>jobs_diff_perc</t>
  </si>
  <si>
    <t>Drexel Hill Junction</t>
  </si>
  <si>
    <t>Sharon Hill</t>
  </si>
  <si>
    <t>Accessibility Comparison</t>
  </si>
  <si>
    <t>jobs</t>
  </si>
  <si>
    <t>Origin Station</t>
  </si>
  <si>
    <t>Total</t>
  </si>
  <si>
    <t>Added Time</t>
  </si>
  <si>
    <t>$</t>
  </si>
  <si>
    <t>7 minutes</t>
  </si>
  <si>
    <t>9 minutes</t>
  </si>
  <si>
    <t>Trip Premium</t>
  </si>
  <si>
    <t>Cumulative Annual Premium</t>
  </si>
  <si>
    <t>SEPTA Costs</t>
  </si>
  <si>
    <t>Operating Expenses</t>
  </si>
  <si>
    <t>$/pax</t>
  </si>
  <si>
    <t>Operating Expenses per Passenger Trip</t>
  </si>
  <si>
    <t>cost_per_vrh</t>
  </si>
  <si>
    <t>new_cost</t>
  </si>
  <si>
    <t>original_cost</t>
  </si>
  <si>
    <t>diff_cost</t>
  </si>
  <si>
    <t>diff_perc_cost</t>
  </si>
  <si>
    <t>new_cost_per_upt</t>
  </si>
  <si>
    <t>old_cost_per_upt</t>
  </si>
  <si>
    <t>diff_cost_per_upt</t>
  </si>
  <si>
    <t>diff_perc_cost_per_upt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</si>
</sst>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0" xfId="0" applyFill="1"/>
    <xf numFmtId="0" fontId="3" fillId="0" borderId="0" xfId="0" applyFont="1"/>
    <xf numFmtId="164" fontId="0" fillId="3" borderId="0" xfId="0" applyNumberFormat="1" applyFill="1" applyAlignment="1">
      <alignment horizontal="right"/>
    </xf>
    <xf numFmtId="9" fontId="0" fillId="3" borderId="0" xfId="1" applyFont="1" applyFill="1" applyAlignment="1">
      <alignment horizontal="right"/>
    </xf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right" wrapText="1"/>
    </xf>
    <xf numFmtId="0" fontId="4" fillId="4" borderId="0" xfId="0" applyFont="1" applyFill="1" applyAlignment="1">
      <alignment horizontal="right" wrapText="1"/>
    </xf>
    <xf numFmtId="0" fontId="0" fillId="4" borderId="2" xfId="0" applyFill="1" applyBorder="1"/>
    <xf numFmtId="0" fontId="0" fillId="4" borderId="2" xfId="0" applyFill="1" applyBorder="1" applyAlignment="1">
      <alignment horizontal="right" wrapText="1"/>
    </xf>
    <xf numFmtId="0" fontId="0" fillId="4" borderId="0" xfId="0" applyFill="1" applyAlignment="1">
      <alignment vertical="center"/>
    </xf>
    <xf numFmtId="164" fontId="0" fillId="4" borderId="0" xfId="0" applyNumberFormat="1" applyFill="1" applyAlignment="1">
      <alignment horizontal="right"/>
    </xf>
    <xf numFmtId="9" fontId="0" fillId="4" borderId="0" xfId="1" applyFont="1" applyFill="1" applyAlignment="1">
      <alignment horizontal="right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horizontal="right"/>
    </xf>
    <xf numFmtId="9" fontId="0" fillId="4" borderId="1" xfId="1" applyFont="1" applyFill="1" applyBorder="1" applyAlignment="1">
      <alignment horizontal="right"/>
    </xf>
    <xf numFmtId="3" fontId="0" fillId="3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  <xf numFmtId="3" fontId="0" fillId="4" borderId="1" xfId="0" applyNumberFormat="1" applyFill="1" applyBorder="1" applyAlignment="1">
      <alignment horizontal="right"/>
    </xf>
    <xf numFmtId="4" fontId="0" fillId="3" borderId="0" xfId="0" applyNumberFormat="1" applyFill="1" applyAlignment="1">
      <alignment horizontal="right"/>
    </xf>
    <xf numFmtId="0" fontId="1" fillId="3" borderId="1" xfId="0" applyFont="1" applyFill="1" applyBorder="1" applyAlignment="1">
      <alignment vertical="center"/>
    </xf>
    <xf numFmtId="4" fontId="1" fillId="3" borderId="1" xfId="0" applyNumberFormat="1" applyFont="1" applyFill="1" applyBorder="1" applyAlignment="1">
      <alignment horizontal="right"/>
    </xf>
    <xf numFmtId="0" fontId="0" fillId="4" borderId="1" xfId="0" applyFill="1" applyBorder="1"/>
    <xf numFmtId="3" fontId="1" fillId="3" borderId="1" xfId="0" applyNumberFormat="1" applyFont="1" applyFill="1" applyBorder="1" applyAlignment="1">
      <alignment horizontal="right"/>
    </xf>
    <xf numFmtId="9" fontId="1" fillId="3" borderId="1" xfId="1" applyFont="1" applyFill="1" applyBorder="1" applyAlignment="1">
      <alignment horizontal="right"/>
    </xf>
    <xf numFmtId="4" fontId="0" fillId="4" borderId="0" xfId="0" applyNumberFormat="1" applyFill="1" applyAlignment="1">
      <alignment horizontal="right"/>
    </xf>
    <xf numFmtId="0" fontId="0" fillId="4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22</xdr:col>
      <xdr:colOff>361950</xdr:colOff>
      <xdr:row>14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77AE66-8C1D-1B6E-EFC9-C802A190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0800" y="450850"/>
          <a:ext cx="6457950" cy="157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908050</xdr:colOff>
      <xdr:row>2</xdr:row>
      <xdr:rowOff>25400</xdr:rowOff>
    </xdr:from>
    <xdr:to>
      <xdr:col>12</xdr:col>
      <xdr:colOff>285750</xdr:colOff>
      <xdr:row>12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F64D38-5508-3CA6-3DBF-5F3A9178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476250"/>
          <a:ext cx="4279900" cy="14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311883</xdr:colOff>
      <xdr:row>2</xdr:row>
      <xdr:rowOff>10503</xdr:rowOff>
    </xdr:from>
    <xdr:to>
      <xdr:col>7</xdr:col>
      <xdr:colOff>521433</xdr:colOff>
      <xdr:row>10</xdr:row>
      <xdr:rowOff>19783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28269-84C5-D28E-6491-D1F7FFD4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7825" y="457445"/>
          <a:ext cx="3279531" cy="1042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84124</xdr:colOff>
      <xdr:row>3</xdr:row>
      <xdr:rowOff>56115</xdr:rowOff>
    </xdr:from>
    <xdr:to>
      <xdr:col>16</xdr:col>
      <xdr:colOff>13251</xdr:colOff>
      <xdr:row>13</xdr:row>
      <xdr:rowOff>14654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CC353-E17A-ECE8-CEFB-D4787840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5662" y="576327"/>
          <a:ext cx="3592589" cy="1467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124700</xdr:colOff>
      <xdr:row>13</xdr:row>
      <xdr:rowOff>227134</xdr:rowOff>
    </xdr:from>
    <xdr:to>
      <xdr:col>16</xdr:col>
      <xdr:colOff>60283</xdr:colOff>
      <xdr:row>23</xdr:row>
      <xdr:rowOff>10502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FEE4DD-E7A5-79D6-C833-8D7BE1F0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6238" y="2256692"/>
          <a:ext cx="3599045" cy="137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1DA4-4D23-43E4-88AB-48B1AD825BF7}">
  <dimension ref="B2:K14"/>
  <sheetViews>
    <sheetView showGridLines="0" tabSelected="1" zoomScale="130" zoomScaleNormal="130" workbookViewId="0"/>
  </sheetViews>
  <sheetFormatPr defaultRowHeight="14.5" x14ac:dyDescent="0.35"/>
  <cols>
    <col min="2" max="2" width="5.6328125" customWidth="1"/>
    <col min="3" max="6" width="10.6328125" customWidth="1"/>
    <col min="7" max="7" width="1.6328125" customWidth="1"/>
    <col min="8" max="11" width="10.6328125" customWidth="1"/>
  </cols>
  <sheetData>
    <row r="2" spans="2:11" ht="21" x14ac:dyDescent="0.5">
      <c r="B2" s="4" t="s">
        <v>79</v>
      </c>
    </row>
    <row r="3" spans="2:11" ht="6" customHeight="1" x14ac:dyDescent="0.35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6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</row>
    <row r="5" spans="2:11" ht="14.5" customHeight="1" x14ac:dyDescent="0.35">
      <c r="B5" s="8"/>
      <c r="C5" s="29" t="s">
        <v>80</v>
      </c>
      <c r="D5" s="29"/>
      <c r="E5" s="29"/>
      <c r="F5" s="29"/>
      <c r="G5" s="8"/>
      <c r="H5" s="29" t="s">
        <v>82</v>
      </c>
      <c r="I5" s="29"/>
      <c r="J5" s="29"/>
      <c r="K5" s="29"/>
    </row>
    <row r="6" spans="2:11" ht="6" customHeight="1" x14ac:dyDescent="0.35">
      <c r="B6" s="8"/>
      <c r="C6" s="25"/>
      <c r="D6" s="25"/>
      <c r="E6" s="25"/>
      <c r="F6" s="25"/>
      <c r="G6" s="8"/>
      <c r="H6" s="25"/>
      <c r="I6" s="25"/>
      <c r="J6" s="25"/>
      <c r="K6" s="25"/>
    </row>
    <row r="7" spans="2:11" ht="6" customHeight="1" x14ac:dyDescent="0.35">
      <c r="B7" s="8"/>
      <c r="C7" s="8"/>
      <c r="D7" s="8"/>
      <c r="E7" s="8"/>
      <c r="F7" s="8"/>
      <c r="G7" s="8"/>
      <c r="H7" s="8"/>
      <c r="I7" s="8"/>
      <c r="J7" s="8"/>
      <c r="K7" s="8"/>
    </row>
    <row r="8" spans="2:11" x14ac:dyDescent="0.35">
      <c r="B8" s="8"/>
      <c r="C8" s="9" t="s">
        <v>48</v>
      </c>
      <c r="D8" s="9" t="s">
        <v>49</v>
      </c>
      <c r="E8" s="9" t="s">
        <v>53</v>
      </c>
      <c r="F8" s="9" t="s">
        <v>53</v>
      </c>
      <c r="G8" s="9"/>
      <c r="H8" s="9" t="s">
        <v>48</v>
      </c>
      <c r="I8" s="9" t="s">
        <v>49</v>
      </c>
      <c r="J8" s="9" t="s">
        <v>53</v>
      </c>
      <c r="K8" s="9" t="s">
        <v>53</v>
      </c>
    </row>
    <row r="9" spans="2:11" x14ac:dyDescent="0.35">
      <c r="B9" s="8"/>
      <c r="C9" s="10" t="s">
        <v>74</v>
      </c>
      <c r="D9" s="10" t="s">
        <v>74</v>
      </c>
      <c r="E9" s="10" t="s">
        <v>74</v>
      </c>
      <c r="F9" s="10" t="s">
        <v>51</v>
      </c>
      <c r="G9" s="10"/>
      <c r="H9" s="10" t="s">
        <v>81</v>
      </c>
      <c r="I9" s="10" t="s">
        <v>81</v>
      </c>
      <c r="J9" s="10" t="s">
        <v>81</v>
      </c>
      <c r="K9" s="10" t="s">
        <v>51</v>
      </c>
    </row>
    <row r="10" spans="2:11" ht="6" customHeight="1" thickBot="1" x14ac:dyDescent="0.4">
      <c r="B10" s="11"/>
      <c r="C10" s="12"/>
      <c r="D10" s="12"/>
      <c r="E10" s="12"/>
      <c r="F10" s="12"/>
      <c r="G10" s="12"/>
      <c r="H10" s="12"/>
      <c r="I10" s="12"/>
      <c r="J10" s="12"/>
      <c r="K10" s="12"/>
    </row>
    <row r="11" spans="2:11" ht="15" thickTop="1" x14ac:dyDescent="0.35">
      <c r="B11" s="7" t="s">
        <v>18</v>
      </c>
      <c r="C11" s="19">
        <f>ROUND(delta_opex!C2, -5)</f>
        <v>11400000</v>
      </c>
      <c r="D11" s="19">
        <f>ROUND(delta_opex!D2, -5)</f>
        <v>9600000</v>
      </c>
      <c r="E11" s="19">
        <f>ROUND(delta_opex!E2, -5)</f>
        <v>1800000</v>
      </c>
      <c r="F11" s="6">
        <f>delta_opex!F2</f>
        <v>0.18820426817585531</v>
      </c>
      <c r="G11" s="6"/>
      <c r="H11" s="22">
        <f>delta_opex!G2</f>
        <v>16.002023752038841</v>
      </c>
      <c r="I11" s="22">
        <f>delta_opex!H2</f>
        <v>13.4674013388332</v>
      </c>
      <c r="J11" s="22">
        <f>delta_opex!I2</f>
        <v>2.534622413205637</v>
      </c>
      <c r="K11" s="6">
        <f>delta_opex!J2</f>
        <v>0.18820426817585539</v>
      </c>
    </row>
    <row r="12" spans="2:11" x14ac:dyDescent="0.35">
      <c r="B12" s="13" t="s">
        <v>30</v>
      </c>
      <c r="C12" s="20">
        <f>ROUND(delta_opex!C3, -5)</f>
        <v>7200000</v>
      </c>
      <c r="D12" s="20">
        <f>ROUND(delta_opex!D3, -5)</f>
        <v>5800000</v>
      </c>
      <c r="E12" s="20">
        <f>ROUND(delta_opex!E3, -5)</f>
        <v>1400000</v>
      </c>
      <c r="F12" s="15">
        <f>delta_opex!F3</f>
        <v>0.2392373745135675</v>
      </c>
      <c r="G12" s="15"/>
      <c r="H12" s="28">
        <f>delta_opex!G3</f>
        <v>9.8807951637748772</v>
      </c>
      <c r="I12" s="28">
        <f>delta_opex!H3</f>
        <v>7.9732869319353306</v>
      </c>
      <c r="J12" s="28">
        <f>delta_opex!I3</f>
        <v>1.9075082318395471</v>
      </c>
      <c r="K12" s="15">
        <f>delta_opex!J3</f>
        <v>0.23923737451356761</v>
      </c>
    </row>
    <row r="13" spans="2:11" x14ac:dyDescent="0.35">
      <c r="B13" s="23" t="s">
        <v>72</v>
      </c>
      <c r="C13" s="26">
        <f>ROUND(delta_opex!C4, -5)</f>
        <v>18600000</v>
      </c>
      <c r="D13" s="26">
        <f>ROUND(delta_opex!D4, -5)</f>
        <v>15400000</v>
      </c>
      <c r="E13" s="26">
        <f>ROUND(delta_opex!E4, -5)</f>
        <v>3200000</v>
      </c>
      <c r="F13" s="27">
        <f>delta_opex!F4</f>
        <v>0.20746825247766471</v>
      </c>
      <c r="G13" s="27"/>
      <c r="H13" s="24">
        <f>delta_opex!G4</f>
        <v>12.90480982111848</v>
      </c>
      <c r="I13" s="24">
        <f>delta_opex!H4</f>
        <v>10.687494097371459</v>
      </c>
      <c r="J13" s="24">
        <f>delta_opex!I4</f>
        <v>2.217315723747014</v>
      </c>
      <c r="K13" s="27">
        <f>delta_opex!J4</f>
        <v>0.20746825247766471</v>
      </c>
    </row>
    <row r="14" spans="2:11" ht="6" customHeight="1" x14ac:dyDescent="0.35"/>
  </sheetData>
  <mergeCells count="2">
    <mergeCell ref="C5:F5"/>
    <mergeCell ref="H5:K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D5C4-C6B2-43B8-9972-1918A0031A60}">
  <dimension ref="B2:F12"/>
  <sheetViews>
    <sheetView showGridLines="0" zoomScale="130" zoomScaleNormal="130" workbookViewId="0">
      <selection activeCell="F15" sqref="F15"/>
    </sheetView>
  </sheetViews>
  <sheetFormatPr defaultRowHeight="14.5" x14ac:dyDescent="0.35"/>
  <cols>
    <col min="2" max="2" width="18.6328125" customWidth="1"/>
    <col min="3" max="6" width="10.6328125" customWidth="1"/>
    <col min="7" max="8" width="17.6328125" customWidth="1"/>
  </cols>
  <sheetData>
    <row r="2" spans="2:6" ht="21" x14ac:dyDescent="0.5">
      <c r="B2" s="4" t="s">
        <v>69</v>
      </c>
    </row>
    <row r="3" spans="2:6" ht="6" customHeight="1" x14ac:dyDescent="0.35">
      <c r="B3" s="2"/>
      <c r="C3" s="2"/>
      <c r="D3" s="2"/>
      <c r="E3" s="2"/>
      <c r="F3" s="2"/>
    </row>
    <row r="4" spans="2:6" ht="6" customHeight="1" x14ac:dyDescent="0.35">
      <c r="B4" s="8"/>
      <c r="C4" s="8"/>
      <c r="D4" s="8"/>
      <c r="E4" s="8"/>
      <c r="F4" s="8"/>
    </row>
    <row r="5" spans="2:6" x14ac:dyDescent="0.35">
      <c r="B5" s="8" t="s">
        <v>71</v>
      </c>
      <c r="C5" s="9" t="s">
        <v>48</v>
      </c>
      <c r="D5" s="9" t="s">
        <v>49</v>
      </c>
      <c r="E5" s="9" t="s">
        <v>53</v>
      </c>
      <c r="F5" s="9" t="s">
        <v>53</v>
      </c>
    </row>
    <row r="6" spans="2:6" x14ac:dyDescent="0.35">
      <c r="B6" s="8"/>
      <c r="C6" s="10" t="s">
        <v>70</v>
      </c>
      <c r="D6" s="10" t="s">
        <v>70</v>
      </c>
      <c r="E6" s="10" t="s">
        <v>70</v>
      </c>
      <c r="F6" s="10" t="s">
        <v>51</v>
      </c>
    </row>
    <row r="7" spans="2:6" ht="6" customHeight="1" thickBot="1" x14ac:dyDescent="0.4">
      <c r="B7" s="11"/>
      <c r="C7" s="12"/>
      <c r="D7" s="12"/>
      <c r="E7" s="12"/>
      <c r="F7" s="12"/>
    </row>
    <row r="8" spans="2:6" ht="15" thickTop="1" x14ac:dyDescent="0.35">
      <c r="B8" s="7" t="str">
        <f>jobs_comp!A2</f>
        <v>Drexel Hill Junction</v>
      </c>
      <c r="C8" s="19">
        <f>ROUND(jobs_comp!B2, -2)</f>
        <v>43400</v>
      </c>
      <c r="D8" s="19">
        <f>ROUND(jobs_comp!C2, -2)</f>
        <v>171500</v>
      </c>
      <c r="E8" s="19">
        <f>ROUND(jobs_comp!D2, -2)</f>
        <v>-128100</v>
      </c>
      <c r="F8" s="6">
        <f>jobs_comp!E2</f>
        <v>-0.74690166391583024</v>
      </c>
    </row>
    <row r="9" spans="2:6" x14ac:dyDescent="0.35">
      <c r="B9" s="13" t="str">
        <f>jobs_comp!A3</f>
        <v>Orange St/Media</v>
      </c>
      <c r="C9" s="20">
        <f>ROUND(jobs_comp!B3, -2)</f>
        <v>28900</v>
      </c>
      <c r="D9" s="20">
        <f>ROUND(jobs_comp!C3, -2)</f>
        <v>35000</v>
      </c>
      <c r="E9" s="20">
        <f>ROUND(jobs_comp!D3, -2)</f>
        <v>-6100</v>
      </c>
      <c r="F9" s="15">
        <f>jobs_comp!E3</f>
        <v>-0.17439268362389251</v>
      </c>
    </row>
    <row r="10" spans="2:6" x14ac:dyDescent="0.35">
      <c r="B10" s="7" t="str">
        <f>jobs_comp!A4</f>
        <v>Sharon Hill</v>
      </c>
      <c r="C10" s="19">
        <f>ROUND(jobs_comp!B4, -2)</f>
        <v>38100</v>
      </c>
      <c r="D10" s="19">
        <f>ROUND(jobs_comp!C4, -2)</f>
        <v>42400</v>
      </c>
      <c r="E10" s="19">
        <f>ROUND(jobs_comp!D4, -2)</f>
        <v>-4300</v>
      </c>
      <c r="F10" s="6">
        <f>jobs_comp!E4</f>
        <v>-0.10216535896892159</v>
      </c>
    </row>
    <row r="11" spans="2:6" x14ac:dyDescent="0.35">
      <c r="B11" s="16" t="str">
        <f>jobs_comp!A5</f>
        <v>69th St Transit Center</v>
      </c>
      <c r="C11" s="21">
        <f>ROUND(jobs_comp!B5, -2)</f>
        <v>545800</v>
      </c>
      <c r="D11" s="21">
        <f>ROUND(jobs_comp!C5, -2)</f>
        <v>554800</v>
      </c>
      <c r="E11" s="21">
        <f>ROUND(jobs_comp!D5, -2)</f>
        <v>-9000</v>
      </c>
      <c r="F11" s="18">
        <f>jobs_comp!E5</f>
        <v>-1.6235791204156021E-2</v>
      </c>
    </row>
    <row r="12" spans="2:6" ht="6" customHeight="1" x14ac:dyDescent="0.3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5E41-75A6-41B6-8A1C-CF08BBFF822D}">
  <dimension ref="B2:D10"/>
  <sheetViews>
    <sheetView showGridLines="0" zoomScale="130" zoomScaleNormal="130" workbookViewId="0">
      <selection activeCell="J11" sqref="J11"/>
    </sheetView>
  </sheetViews>
  <sheetFormatPr defaultRowHeight="14.5" x14ac:dyDescent="0.35"/>
  <cols>
    <col min="2" max="2" width="25.6328125" customWidth="1"/>
    <col min="3" max="4" width="10.6328125" customWidth="1"/>
    <col min="5" max="6" width="17.6328125" customWidth="1"/>
  </cols>
  <sheetData>
    <row r="2" spans="2:4" ht="21" x14ac:dyDescent="0.5">
      <c r="B2" s="4" t="s">
        <v>73</v>
      </c>
    </row>
    <row r="3" spans="2:4" ht="6" customHeight="1" x14ac:dyDescent="0.35">
      <c r="B3" s="2"/>
      <c r="C3" s="2"/>
      <c r="D3" s="2"/>
    </row>
    <row r="4" spans="2:4" ht="6" customHeight="1" x14ac:dyDescent="0.35">
      <c r="B4" s="8"/>
      <c r="C4" s="8"/>
      <c r="D4" s="8"/>
    </row>
    <row r="5" spans="2:4" x14ac:dyDescent="0.35">
      <c r="B5" s="8"/>
      <c r="C5" s="9" t="s">
        <v>75</v>
      </c>
      <c r="D5" s="9" t="s">
        <v>76</v>
      </c>
    </row>
    <row r="6" spans="2:4" x14ac:dyDescent="0.35">
      <c r="B6" s="8"/>
      <c r="C6" s="10" t="s">
        <v>74</v>
      </c>
      <c r="D6" s="10" t="s">
        <v>74</v>
      </c>
    </row>
    <row r="7" spans="2:4" ht="6" customHeight="1" thickBot="1" x14ac:dyDescent="0.4">
      <c r="B7" s="11"/>
      <c r="C7" s="12"/>
      <c r="D7" s="12"/>
    </row>
    <row r="8" spans="2:4" ht="15" thickTop="1" x14ac:dyDescent="0.35">
      <c r="B8" s="7" t="s">
        <v>77</v>
      </c>
      <c r="C8" s="22">
        <f>delta_time_costs_min!F2</f>
        <v>1.4524999999999999</v>
      </c>
      <c r="D8" s="22">
        <f>delta_time_costs_max!F2</f>
        <v>1.8674999999999999</v>
      </c>
    </row>
    <row r="9" spans="2:4" x14ac:dyDescent="0.35">
      <c r="B9" s="16" t="s">
        <v>78</v>
      </c>
      <c r="C9" s="21">
        <f>ROUND(SUM(delta_time_costs_min!I2:I3),-5)</f>
        <v>2100000</v>
      </c>
      <c r="D9" s="21">
        <f>ROUND(SUM(delta_time_costs_max!I2:I3),-5)</f>
        <v>2700000</v>
      </c>
    </row>
    <row r="10" spans="2:4" ht="6" customHeight="1" x14ac:dyDescent="0.3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45DE-D981-4AB7-9D6F-E27B39531255}">
  <dimension ref="A2:J24"/>
  <sheetViews>
    <sheetView showGridLines="0" topLeftCell="D1" zoomScale="130" zoomScaleNormal="130" workbookViewId="0">
      <selection activeCell="R14" sqref="R14"/>
    </sheetView>
  </sheetViews>
  <sheetFormatPr defaultRowHeight="14.5" outlineLevelCol="1" x14ac:dyDescent="0.35"/>
  <cols>
    <col min="1" max="3" width="8.7265625" style="3" hidden="1" customWidth="1" outlineLevel="1"/>
    <col min="4" max="4" width="8.7265625" collapsed="1"/>
    <col min="5" max="5" width="4.1796875" bestFit="1" customWidth="1"/>
    <col min="6" max="6" width="11.08984375" bestFit="1" customWidth="1"/>
    <col min="7" max="10" width="10.6328125" customWidth="1"/>
    <col min="11" max="12" width="17.6328125" customWidth="1"/>
  </cols>
  <sheetData>
    <row r="2" spans="1:10" ht="21" x14ac:dyDescent="0.5">
      <c r="E2" s="4" t="s">
        <v>47</v>
      </c>
    </row>
    <row r="3" spans="1:10" ht="6" customHeight="1" x14ac:dyDescent="0.35">
      <c r="E3" s="2"/>
      <c r="F3" s="2"/>
      <c r="G3" s="2"/>
      <c r="H3" s="2"/>
      <c r="I3" s="2"/>
      <c r="J3" s="2"/>
    </row>
    <row r="4" spans="1:10" ht="6" customHeight="1" x14ac:dyDescent="0.35">
      <c r="E4" s="8"/>
      <c r="F4" s="8"/>
      <c r="G4" s="8"/>
      <c r="H4" s="8"/>
      <c r="I4" s="8"/>
      <c r="J4" s="8"/>
    </row>
    <row r="5" spans="1:10" x14ac:dyDescent="0.35">
      <c r="A5" s="3" t="s">
        <v>41</v>
      </c>
      <c r="B5" s="3" t="s">
        <v>45</v>
      </c>
      <c r="C5" s="3" t="s">
        <v>46</v>
      </c>
      <c r="E5" s="8" t="s">
        <v>41</v>
      </c>
      <c r="F5" s="8" t="s">
        <v>42</v>
      </c>
      <c r="G5" s="9" t="s">
        <v>48</v>
      </c>
      <c r="H5" s="9" t="s">
        <v>49</v>
      </c>
      <c r="I5" s="9" t="s">
        <v>53</v>
      </c>
      <c r="J5" s="9" t="s">
        <v>53</v>
      </c>
    </row>
    <row r="6" spans="1:10" x14ac:dyDescent="0.35">
      <c r="E6" s="8"/>
      <c r="F6" s="8"/>
      <c r="G6" s="10" t="s">
        <v>50</v>
      </c>
      <c r="H6" s="10" t="s">
        <v>50</v>
      </c>
      <c r="I6" s="10" t="s">
        <v>50</v>
      </c>
      <c r="J6" s="10" t="s">
        <v>51</v>
      </c>
    </row>
    <row r="7" spans="1:10" ht="6" customHeight="1" thickBot="1" x14ac:dyDescent="0.4">
      <c r="E7" s="11"/>
      <c r="F7" s="11"/>
      <c r="G7" s="12"/>
      <c r="H7" s="12"/>
      <c r="I7" s="12"/>
      <c r="J7" s="12"/>
    </row>
    <row r="8" spans="1:10" ht="15" thickTop="1" x14ac:dyDescent="0.35">
      <c r="A8" s="3" t="s">
        <v>18</v>
      </c>
      <c r="B8" s="3" t="s">
        <v>22</v>
      </c>
      <c r="C8" s="3" t="s">
        <v>20</v>
      </c>
      <c r="E8" s="7" t="s">
        <v>18</v>
      </c>
      <c r="F8" s="7" t="s">
        <v>43</v>
      </c>
      <c r="G8" s="5">
        <f>SUMIFS(route_shape_direction_comp!H:H, route_shape_direction_comp!$A:$A,$A8, route_shape_direction_comp!$C:$C,$B8, route_shape_direction_comp!$E:$E,$C8)</f>
        <v>48.51973684210526</v>
      </c>
      <c r="H8" s="5">
        <f>SUMIFS(route_shape_direction_comp!I:I, route_shape_direction_comp!$A:$A,$A8, route_shape_direction_comp!$C:$C,$B8, route_shape_direction_comp!$E:$E,$C8)</f>
        <v>33.878289473684212</v>
      </c>
      <c r="I8" s="5">
        <f>SUMIFS(route_shape_direction_comp!J:J, route_shape_direction_comp!$A:$A,$A8, route_shape_direction_comp!$C:$C,$B8, route_shape_direction_comp!$E:$E,$C8)</f>
        <v>14.64144736842105</v>
      </c>
      <c r="J8" s="6">
        <f>SUMIFS(route_shape_direction_comp!K:K, route_shape_direction_comp!$A:$A,$A8, route_shape_direction_comp!$C:$C,$B8, route_shape_direction_comp!$E:$E,$C8)</f>
        <v>0.43217788134770352</v>
      </c>
    </row>
    <row r="9" spans="1:10" x14ac:dyDescent="0.35">
      <c r="A9" s="3" t="s">
        <v>18</v>
      </c>
      <c r="B9" s="3" t="s">
        <v>20</v>
      </c>
      <c r="C9" s="3" t="s">
        <v>22</v>
      </c>
      <c r="E9" s="13" t="s">
        <v>18</v>
      </c>
      <c r="F9" s="13" t="s">
        <v>44</v>
      </c>
      <c r="G9" s="14">
        <f>SUMIFS(route_shape_direction_comp!H:H, route_shape_direction_comp!$A:$A,$A9, route_shape_direction_comp!$C:$C,$B9, route_shape_direction_comp!$E:$E,$C9)</f>
        <v>49.891447368421048</v>
      </c>
      <c r="H9" s="14">
        <f>SUMIFS(route_shape_direction_comp!I:I, route_shape_direction_comp!$A:$A,$A9, route_shape_direction_comp!$C:$C,$B9, route_shape_direction_comp!$E:$E,$C9)</f>
        <v>33.348684210526322</v>
      </c>
      <c r="I9" s="14">
        <f>SUMIFS(route_shape_direction_comp!J:J, route_shape_direction_comp!$A:$A,$A9, route_shape_direction_comp!$C:$C,$B9, route_shape_direction_comp!$E:$E,$C9)</f>
        <v>16.54276315789474</v>
      </c>
      <c r="J9" s="15">
        <f>SUMIFS(route_shape_direction_comp!K:K, route_shape_direction_comp!$A:$A,$A9, route_shape_direction_comp!$C:$C,$B9, route_shape_direction_comp!$E:$E,$C9)</f>
        <v>0.49605444860919318</v>
      </c>
    </row>
    <row r="10" spans="1:10" x14ac:dyDescent="0.35">
      <c r="A10" s="3" t="s">
        <v>30</v>
      </c>
      <c r="B10" s="3" t="s">
        <v>32</v>
      </c>
      <c r="C10" s="3" t="s">
        <v>20</v>
      </c>
      <c r="E10" s="7" t="s">
        <v>30</v>
      </c>
      <c r="F10" s="7" t="s">
        <v>43</v>
      </c>
      <c r="G10" s="5">
        <f>SUMIFS(route_shape_direction_comp!H:H, route_shape_direction_comp!$A:$A,$A10, route_shape_direction_comp!$C:$C,$B10, route_shape_direction_comp!$E:$E,$C10)</f>
        <v>36.347826086956523</v>
      </c>
      <c r="H10" s="5">
        <f>SUMIFS(route_shape_direction_comp!I:I, route_shape_direction_comp!$A:$A,$A10, route_shape_direction_comp!$C:$C,$B10, route_shape_direction_comp!$E:$E,$C10)</f>
        <v>25.59710144927536</v>
      </c>
      <c r="I10" s="5">
        <f>SUMIFS(route_shape_direction_comp!J:J, route_shape_direction_comp!$A:$A,$A10, route_shape_direction_comp!$C:$C,$B10, route_shape_direction_comp!$E:$E,$C10)</f>
        <v>10.750724637681159</v>
      </c>
      <c r="J10" s="6">
        <f>SUMIFS(route_shape_direction_comp!K:K, route_shape_direction_comp!$A:$A,$A10, route_shape_direction_comp!$C:$C,$B10, route_shape_direction_comp!$E:$E,$C10)</f>
        <v>0.41999773525082101</v>
      </c>
    </row>
    <row r="11" spans="1:10" x14ac:dyDescent="0.35">
      <c r="A11" s="3" t="s">
        <v>30</v>
      </c>
      <c r="B11" s="3" t="s">
        <v>20</v>
      </c>
      <c r="C11" s="3" t="s">
        <v>32</v>
      </c>
      <c r="E11" s="16" t="s">
        <v>30</v>
      </c>
      <c r="F11" s="16" t="s">
        <v>44</v>
      </c>
      <c r="G11" s="17">
        <f>SUMIFS(route_shape_direction_comp!H:H, route_shape_direction_comp!$A:$A,$A11, route_shape_direction_comp!$C:$C,$B11, route_shape_direction_comp!$E:$E,$C11)</f>
        <v>36.408695652173911</v>
      </c>
      <c r="H11" s="17">
        <f>SUMIFS(route_shape_direction_comp!I:I, route_shape_direction_comp!$A:$A,$A11, route_shape_direction_comp!$C:$C,$B11, route_shape_direction_comp!$E:$E,$C11)</f>
        <v>24.895652173913039</v>
      </c>
      <c r="I11" s="17">
        <f>SUMIFS(route_shape_direction_comp!J:J, route_shape_direction_comp!$A:$A,$A11, route_shape_direction_comp!$C:$C,$B11, route_shape_direction_comp!$E:$E,$C11)</f>
        <v>11.513043478260871</v>
      </c>
      <c r="J11" s="18">
        <f>SUMIFS(route_shape_direction_comp!K:K, route_shape_direction_comp!$A:$A,$A11, route_shape_direction_comp!$C:$C,$B11, route_shape_direction_comp!$E:$E,$C11)</f>
        <v>0.46245197345441841</v>
      </c>
    </row>
    <row r="12" spans="1:10" ht="6" customHeight="1" x14ac:dyDescent="0.35"/>
    <row r="14" spans="1:10" ht="21" x14ac:dyDescent="0.5">
      <c r="E14" s="4" t="s">
        <v>47</v>
      </c>
    </row>
    <row r="15" spans="1:10" ht="6" customHeight="1" x14ac:dyDescent="0.35">
      <c r="E15" s="2"/>
      <c r="F15" s="2"/>
      <c r="G15" s="2"/>
      <c r="H15" s="2"/>
      <c r="I15" s="2"/>
      <c r="J15" s="2"/>
    </row>
    <row r="16" spans="1:10" ht="6" customHeight="1" x14ac:dyDescent="0.35">
      <c r="E16" s="8"/>
      <c r="F16" s="8"/>
      <c r="G16" s="8"/>
      <c r="H16" s="8"/>
      <c r="I16" s="8"/>
      <c r="J16" s="8"/>
    </row>
    <row r="17" spans="1:10" x14ac:dyDescent="0.35">
      <c r="E17" s="8" t="s">
        <v>41</v>
      </c>
      <c r="F17" s="8" t="s">
        <v>42</v>
      </c>
      <c r="G17" s="9" t="s">
        <v>48</v>
      </c>
      <c r="H17" s="9" t="s">
        <v>49</v>
      </c>
      <c r="I17" s="9" t="s">
        <v>53</v>
      </c>
      <c r="J17" s="9" t="s">
        <v>53</v>
      </c>
    </row>
    <row r="18" spans="1:10" ht="14.5" customHeight="1" x14ac:dyDescent="0.35">
      <c r="E18" s="8"/>
      <c r="F18" s="8"/>
      <c r="G18" s="10" t="s">
        <v>52</v>
      </c>
      <c r="H18" s="10" t="s">
        <v>52</v>
      </c>
      <c r="I18" s="10" t="s">
        <v>52</v>
      </c>
      <c r="J18" s="10" t="s">
        <v>51</v>
      </c>
    </row>
    <row r="19" spans="1:10" ht="6" customHeight="1" thickBot="1" x14ac:dyDescent="0.4">
      <c r="E19" s="11"/>
      <c r="F19" s="11"/>
      <c r="G19" s="12"/>
      <c r="H19" s="12"/>
      <c r="I19" s="12"/>
      <c r="J19" s="12"/>
    </row>
    <row r="20" spans="1:10" ht="15" thickTop="1" x14ac:dyDescent="0.35">
      <c r="A20" s="3" t="s">
        <v>18</v>
      </c>
      <c r="B20" s="3" t="s">
        <v>22</v>
      </c>
      <c r="C20" s="3" t="s">
        <v>20</v>
      </c>
      <c r="E20" s="7" t="s">
        <v>18</v>
      </c>
      <c r="F20" s="7" t="s">
        <v>43</v>
      </c>
      <c r="G20" s="5">
        <f>SUMIFS(route_shape_direction_comp!L:L, route_shape_direction_comp!$A:$A,$A20, route_shape_direction_comp!$C:$C,$B20, route_shape_direction_comp!$E:$E,$C20)</f>
        <v>17.145893846783551</v>
      </c>
      <c r="H20" s="5">
        <f>SUMIFS(route_shape_direction_comp!M:M, route_shape_direction_comp!$A:$A,$A20, route_shape_direction_comp!$C:$C,$B20, route_shape_direction_comp!$E:$E,$C20)</f>
        <v>24.555969923299092</v>
      </c>
      <c r="I20" s="5">
        <f>SUMIFS(route_shape_direction_comp!N:N, route_shape_direction_comp!$A:$A,$A20, route_shape_direction_comp!$C:$C,$B20, route_shape_direction_comp!$E:$E,$C20)</f>
        <v>-7.4100760765155407</v>
      </c>
      <c r="J20" s="6">
        <f>SUMIFS(route_shape_direction_comp!O:O, route_shape_direction_comp!$A:$A,$A20, route_shape_direction_comp!$C:$C,$B20, route_shape_direction_comp!$E:$E,$C20)</f>
        <v>-0.30176271186440667</v>
      </c>
    </row>
    <row r="21" spans="1:10" x14ac:dyDescent="0.35">
      <c r="A21" s="3" t="s">
        <v>18</v>
      </c>
      <c r="B21" s="3" t="s">
        <v>20</v>
      </c>
      <c r="C21" s="3" t="s">
        <v>22</v>
      </c>
      <c r="E21" s="13" t="s">
        <v>18</v>
      </c>
      <c r="F21" s="13" t="s">
        <v>44</v>
      </c>
      <c r="G21" s="14">
        <f>SUMIFS(route_shape_direction_comp!L:L, route_shape_direction_comp!$A:$A,$A21, route_shape_direction_comp!$C:$C,$B21, route_shape_direction_comp!$E:$E,$C21)</f>
        <v>16.690814786751542</v>
      </c>
      <c r="H21" s="14">
        <f>SUMIFS(route_shape_direction_comp!M:M, route_shape_direction_comp!$A:$A,$A21, route_shape_direction_comp!$C:$C,$B21, route_shape_direction_comp!$E:$E,$C21)</f>
        <v>24.970367712631742</v>
      </c>
      <c r="I21" s="14">
        <f>SUMIFS(route_shape_direction_comp!N:N, route_shape_direction_comp!$A:$A,$A21, route_shape_direction_comp!$C:$C,$B21, route_shape_direction_comp!$E:$E,$C21)</f>
        <v>-8.2795529258802034</v>
      </c>
      <c r="J21" s="15">
        <f>SUMIFS(route_shape_direction_comp!O:O, route_shape_direction_comp!$A:$A,$A21, route_shape_direction_comp!$C:$C,$B21, route_shape_direction_comp!$E:$E,$C21)</f>
        <v>-0.33157513021691842</v>
      </c>
    </row>
    <row r="22" spans="1:10" x14ac:dyDescent="0.35">
      <c r="A22" s="3" t="s">
        <v>30</v>
      </c>
      <c r="B22" s="3" t="s">
        <v>32</v>
      </c>
      <c r="C22" s="3" t="s">
        <v>20</v>
      </c>
      <c r="E22" s="7" t="s">
        <v>30</v>
      </c>
      <c r="F22" s="7" t="s">
        <v>43</v>
      </c>
      <c r="G22" s="5">
        <f>SUMIFS(route_shape_direction_comp!L:L, route_shape_direction_comp!$A:$A,$A22, route_shape_direction_comp!$C:$C,$B22, route_shape_direction_comp!$E:$E,$C22)</f>
        <v>13.97740181994638</v>
      </c>
      <c r="H22" s="5">
        <f>SUMIFS(route_shape_direction_comp!M:M, route_shape_direction_comp!$A:$A,$A22, route_shape_direction_comp!$C:$C,$B22, route_shape_direction_comp!$E:$E,$C22)</f>
        <v>19.84787892901457</v>
      </c>
      <c r="I22" s="5">
        <f>SUMIFS(route_shape_direction_comp!N:N, route_shape_direction_comp!$A:$A,$A22, route_shape_direction_comp!$C:$C,$B22, route_shape_direction_comp!$E:$E,$C22)</f>
        <v>-5.8704771090681849</v>
      </c>
      <c r="J22" s="6">
        <f>SUMIFS(route_shape_direction_comp!O:O, route_shape_direction_comp!$A:$A,$A22, route_shape_direction_comp!$C:$C,$B22, route_shape_direction_comp!$E:$E,$C22)</f>
        <v>-0.29577352472089308</v>
      </c>
    </row>
    <row r="23" spans="1:10" x14ac:dyDescent="0.35">
      <c r="A23" s="3" t="s">
        <v>30</v>
      </c>
      <c r="B23" s="3" t="s">
        <v>20</v>
      </c>
      <c r="C23" s="3" t="s">
        <v>32</v>
      </c>
      <c r="E23" s="16" t="s">
        <v>30</v>
      </c>
      <c r="F23" s="16" t="s">
        <v>44</v>
      </c>
      <c r="G23" s="17">
        <f>SUMIFS(route_shape_direction_comp!L:L, route_shape_direction_comp!$A:$A,$A23, route_shape_direction_comp!$C:$C,$B23, route_shape_direction_comp!$E:$E,$C23)</f>
        <v>13.97637661325532</v>
      </c>
      <c r="H23" s="17">
        <f>SUMIFS(route_shape_direction_comp!M:M, route_shape_direction_comp!$A:$A,$A23, route_shape_direction_comp!$C:$C,$B23, route_shape_direction_comp!$E:$E,$C23)</f>
        <v>20.439779559797419</v>
      </c>
      <c r="I23" s="17">
        <f>SUMIFS(route_shape_direction_comp!N:N, route_shape_direction_comp!$A:$A,$A23, route_shape_direction_comp!$C:$C,$B23, route_shape_direction_comp!$E:$E,$C23)</f>
        <v>-6.4634029465421019</v>
      </c>
      <c r="J23" s="18">
        <f>SUMIFS(route_shape_direction_comp!O:O, route_shape_direction_comp!$A:$A,$A23, route_shape_direction_comp!$C:$C,$B23, route_shape_direction_comp!$E:$E,$C23)</f>
        <v>-0.3162168617148316</v>
      </c>
    </row>
    <row r="24" spans="1:10" ht="6" customHeight="1" x14ac:dyDescent="0.3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196C-3383-4AA1-B444-71EF92F79363}">
  <sheetPr>
    <tabColor theme="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2E2F-7F96-4F51-99A1-E36E0C06EC39}">
  <sheetPr>
    <tabColor theme="0" tint="-0.14999847407452621"/>
  </sheetPr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>
      <selection activeCell="I17" sqref="I17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47</v>
      </c>
      <c r="H2">
        <v>235</v>
      </c>
      <c r="I2">
        <v>13.87881512448797</v>
      </c>
      <c r="J2">
        <v>50.191489361702118</v>
      </c>
      <c r="K2">
        <v>33.574468085106382</v>
      </c>
      <c r="L2">
        <v>16.617021276595739</v>
      </c>
      <c r="M2">
        <v>0.49493029150823831</v>
      </c>
      <c r="N2">
        <v>16.59103800383895</v>
      </c>
      <c r="O2">
        <v>24.802445279503221</v>
      </c>
      <c r="P2">
        <v>-8.2114072756642713</v>
      </c>
      <c r="Q2">
        <v>-0.33107248834251812</v>
      </c>
    </row>
    <row r="3" spans="1:17" x14ac:dyDescent="0.35">
      <c r="A3" t="s">
        <v>17</v>
      </c>
      <c r="B3" t="s">
        <v>18</v>
      </c>
      <c r="C3" t="s">
        <v>19</v>
      </c>
      <c r="D3" t="s">
        <v>20</v>
      </c>
      <c r="E3" t="s">
        <v>23</v>
      </c>
      <c r="F3" t="s">
        <v>24</v>
      </c>
      <c r="G3">
        <v>1</v>
      </c>
      <c r="H3">
        <v>5</v>
      </c>
      <c r="I3">
        <v>12.714801870361519</v>
      </c>
      <c r="J3">
        <v>40</v>
      </c>
      <c r="K3">
        <v>23</v>
      </c>
      <c r="L3">
        <v>17</v>
      </c>
      <c r="M3">
        <v>0.73913043478260865</v>
      </c>
      <c r="N3">
        <v>19.072202805542279</v>
      </c>
      <c r="O3">
        <v>33.169048357464838</v>
      </c>
      <c r="P3">
        <v>-14.096845551922559</v>
      </c>
      <c r="Q3">
        <v>-0.42499999999999999</v>
      </c>
    </row>
    <row r="4" spans="1:17" x14ac:dyDescent="0.35">
      <c r="A4" t="s">
        <v>17</v>
      </c>
      <c r="B4" t="s">
        <v>18</v>
      </c>
      <c r="C4" t="s">
        <v>19</v>
      </c>
      <c r="D4" t="s">
        <v>20</v>
      </c>
      <c r="E4" t="s">
        <v>25</v>
      </c>
      <c r="F4" t="s">
        <v>26</v>
      </c>
      <c r="G4">
        <v>3</v>
      </c>
      <c r="H4">
        <v>15</v>
      </c>
      <c r="I4">
        <v>8.8111203099554984</v>
      </c>
      <c r="J4">
        <v>31.333333333333329</v>
      </c>
      <c r="K4">
        <v>18.666666666666671</v>
      </c>
      <c r="L4">
        <v>12.666666666666661</v>
      </c>
      <c r="M4">
        <v>0.67857142857142838</v>
      </c>
      <c r="N4">
        <v>16.87235804034032</v>
      </c>
      <c r="O4">
        <v>28.321458139142671</v>
      </c>
      <c r="P4">
        <v>-11.44910009880236</v>
      </c>
      <c r="Q4">
        <v>-0.4042553191489362</v>
      </c>
    </row>
    <row r="5" spans="1:17" x14ac:dyDescent="0.35">
      <c r="A5" t="s">
        <v>17</v>
      </c>
      <c r="B5" t="s">
        <v>18</v>
      </c>
      <c r="C5" t="s">
        <v>27</v>
      </c>
      <c r="D5" t="s">
        <v>22</v>
      </c>
      <c r="E5" t="s">
        <v>19</v>
      </c>
      <c r="F5" t="s">
        <v>20</v>
      </c>
      <c r="G5">
        <v>47</v>
      </c>
      <c r="H5">
        <v>235</v>
      </c>
      <c r="I5">
        <v>13.865237622810159</v>
      </c>
      <c r="J5">
        <v>48.936170212765958</v>
      </c>
      <c r="K5">
        <v>34.063829787234042</v>
      </c>
      <c r="L5">
        <v>14.87234042553192</v>
      </c>
      <c r="M5">
        <v>0.43660212367270462</v>
      </c>
      <c r="N5">
        <v>16.999986998402029</v>
      </c>
      <c r="O5">
        <v>24.422217424312709</v>
      </c>
      <c r="P5">
        <v>-7.422230425910687</v>
      </c>
      <c r="Q5">
        <v>-0.30391304347826081</v>
      </c>
    </row>
    <row r="6" spans="1:17" x14ac:dyDescent="0.35">
      <c r="A6" t="s">
        <v>17</v>
      </c>
      <c r="B6" t="s">
        <v>18</v>
      </c>
      <c r="C6" t="s">
        <v>28</v>
      </c>
      <c r="D6" t="s">
        <v>24</v>
      </c>
      <c r="E6" t="s">
        <v>19</v>
      </c>
      <c r="F6" t="s">
        <v>20</v>
      </c>
      <c r="G6">
        <v>1</v>
      </c>
      <c r="H6">
        <v>5</v>
      </c>
      <c r="I6">
        <v>12.701224368683709</v>
      </c>
      <c r="J6">
        <v>38</v>
      </c>
      <c r="K6">
        <v>25</v>
      </c>
      <c r="L6">
        <v>13</v>
      </c>
      <c r="M6">
        <v>0.52</v>
      </c>
      <c r="N6">
        <v>20.054564792658489</v>
      </c>
      <c r="O6">
        <v>30.482938484840901</v>
      </c>
      <c r="P6">
        <v>-10.42837369218241</v>
      </c>
      <c r="Q6">
        <v>-0.34210526315789458</v>
      </c>
    </row>
    <row r="7" spans="1:17" x14ac:dyDescent="0.35">
      <c r="A7" t="s">
        <v>17</v>
      </c>
      <c r="B7" t="s">
        <v>18</v>
      </c>
      <c r="C7" t="s">
        <v>29</v>
      </c>
      <c r="D7" t="s">
        <v>26</v>
      </c>
      <c r="E7" t="s">
        <v>19</v>
      </c>
      <c r="F7" t="s">
        <v>20</v>
      </c>
      <c r="G7">
        <v>3</v>
      </c>
      <c r="H7">
        <v>15</v>
      </c>
      <c r="I7">
        <v>8.7975428082776936</v>
      </c>
      <c r="J7">
        <v>31</v>
      </c>
      <c r="K7">
        <v>21.333333333333329</v>
      </c>
      <c r="L7">
        <v>9.6666666666666679</v>
      </c>
      <c r="M7">
        <v>0.45312500000000011</v>
      </c>
      <c r="N7">
        <v>17.027502209569729</v>
      </c>
      <c r="O7">
        <v>24.743089148281008</v>
      </c>
      <c r="P7">
        <v>-7.715586938711283</v>
      </c>
      <c r="Q7">
        <v>-0.31182795698924731</v>
      </c>
    </row>
    <row r="8" spans="1:17" x14ac:dyDescent="0.35">
      <c r="A8" t="s">
        <v>17</v>
      </c>
      <c r="B8" t="s">
        <v>30</v>
      </c>
      <c r="C8" t="s">
        <v>19</v>
      </c>
      <c r="D8" t="s">
        <v>20</v>
      </c>
      <c r="E8" t="s">
        <v>31</v>
      </c>
      <c r="F8" t="s">
        <v>32</v>
      </c>
      <c r="G8">
        <v>55</v>
      </c>
      <c r="H8">
        <v>275</v>
      </c>
      <c r="I8">
        <v>8.4810273738695674</v>
      </c>
      <c r="J8">
        <v>36.836363636363643</v>
      </c>
      <c r="K8">
        <v>25.25454545454545</v>
      </c>
      <c r="L8">
        <v>11.58181818181818</v>
      </c>
      <c r="M8">
        <v>0.45860331173506119</v>
      </c>
      <c r="N8">
        <v>13.81411171459505</v>
      </c>
      <c r="O8">
        <v>20.14930909558645</v>
      </c>
      <c r="P8">
        <v>-6.335197380991394</v>
      </c>
      <c r="Q8">
        <v>-0.31441263573543932</v>
      </c>
    </row>
    <row r="9" spans="1:17" x14ac:dyDescent="0.35">
      <c r="A9" t="s">
        <v>17</v>
      </c>
      <c r="B9" t="s">
        <v>30</v>
      </c>
      <c r="C9" t="s">
        <v>31</v>
      </c>
      <c r="D9" t="s">
        <v>32</v>
      </c>
      <c r="E9" t="s">
        <v>19</v>
      </c>
      <c r="F9" t="s">
        <v>20</v>
      </c>
      <c r="G9">
        <v>55</v>
      </c>
      <c r="H9">
        <v>275</v>
      </c>
      <c r="I9">
        <v>8.4674695083153466</v>
      </c>
      <c r="J9">
        <v>36.6</v>
      </c>
      <c r="K9">
        <v>25.963636363636361</v>
      </c>
      <c r="L9">
        <v>10.63636363636364</v>
      </c>
      <c r="M9">
        <v>0.4096638655462187</v>
      </c>
      <c r="N9">
        <v>13.881097554615319</v>
      </c>
      <c r="O9">
        <v>19.567681636863199</v>
      </c>
      <c r="P9">
        <v>-5.6865840822478759</v>
      </c>
      <c r="Q9">
        <v>-0.29061102831594637</v>
      </c>
    </row>
    <row r="10" spans="1:17" x14ac:dyDescent="0.35">
      <c r="A10" t="s">
        <v>33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35</v>
      </c>
      <c r="H10">
        <v>35</v>
      </c>
      <c r="I10">
        <v>13.87881512448797</v>
      </c>
      <c r="J10">
        <v>49.31428571428571</v>
      </c>
      <c r="K10">
        <v>33.200000000000003</v>
      </c>
      <c r="L10">
        <v>16.11428571428571</v>
      </c>
      <c r="M10">
        <v>0.4853700516351116</v>
      </c>
      <c r="N10">
        <v>16.88615976907575</v>
      </c>
      <c r="O10">
        <v>25.082196008110792</v>
      </c>
      <c r="P10">
        <v>-8.1960362390350419</v>
      </c>
      <c r="Q10">
        <v>-0.32676709154113548</v>
      </c>
    </row>
    <row r="11" spans="1:17" x14ac:dyDescent="0.35">
      <c r="A11" t="s">
        <v>33</v>
      </c>
      <c r="B11" t="s">
        <v>18</v>
      </c>
      <c r="C11" t="s">
        <v>27</v>
      </c>
      <c r="D11" t="s">
        <v>22</v>
      </c>
      <c r="E11" t="s">
        <v>19</v>
      </c>
      <c r="F11" t="s">
        <v>20</v>
      </c>
      <c r="G11">
        <v>35</v>
      </c>
      <c r="H11">
        <v>35</v>
      </c>
      <c r="I11">
        <v>13.865237622810159</v>
      </c>
      <c r="J11">
        <v>48.457142857142863</v>
      </c>
      <c r="K11">
        <v>34.228571428571428</v>
      </c>
      <c r="L11">
        <v>14.22857142857143</v>
      </c>
      <c r="M11">
        <v>0.41569282136894831</v>
      </c>
      <c r="N11">
        <v>17.16804186786635</v>
      </c>
      <c r="O11">
        <v>24.304673629299948</v>
      </c>
      <c r="P11">
        <v>-7.1366317614335948</v>
      </c>
      <c r="Q11">
        <v>-0.29363207547169817</v>
      </c>
    </row>
    <row r="12" spans="1:17" x14ac:dyDescent="0.35">
      <c r="A12" t="s">
        <v>33</v>
      </c>
      <c r="B12" t="s">
        <v>30</v>
      </c>
      <c r="C12" t="s">
        <v>19</v>
      </c>
      <c r="D12" t="s">
        <v>20</v>
      </c>
      <c r="E12" t="s">
        <v>31</v>
      </c>
      <c r="F12" t="s">
        <v>32</v>
      </c>
      <c r="G12">
        <v>35</v>
      </c>
      <c r="H12">
        <v>35</v>
      </c>
      <c r="I12">
        <v>8.4810273738695674</v>
      </c>
      <c r="J12">
        <v>35.028571428571432</v>
      </c>
      <c r="K12">
        <v>24.428571428571431</v>
      </c>
      <c r="L12">
        <v>10.6</v>
      </c>
      <c r="M12">
        <v>0.43391812865497081</v>
      </c>
      <c r="N12">
        <v>14.52704525703597</v>
      </c>
      <c r="O12">
        <v>20.830593549855081</v>
      </c>
      <c r="P12">
        <v>-6.3035482928191122</v>
      </c>
      <c r="Q12">
        <v>-0.30261011419249578</v>
      </c>
    </row>
    <row r="13" spans="1:17" x14ac:dyDescent="0.35">
      <c r="A13" t="s">
        <v>33</v>
      </c>
      <c r="B13" t="s">
        <v>30</v>
      </c>
      <c r="C13" t="s">
        <v>31</v>
      </c>
      <c r="D13" t="s">
        <v>32</v>
      </c>
      <c r="E13" t="s">
        <v>19</v>
      </c>
      <c r="F13" t="s">
        <v>20</v>
      </c>
      <c r="G13">
        <v>35</v>
      </c>
      <c r="H13">
        <v>35</v>
      </c>
      <c r="I13">
        <v>8.4674695083153466</v>
      </c>
      <c r="J13">
        <v>36.200000000000003</v>
      </c>
      <c r="K13">
        <v>24.6</v>
      </c>
      <c r="L13">
        <v>11.6</v>
      </c>
      <c r="M13">
        <v>0.47154471544715448</v>
      </c>
      <c r="N13">
        <v>14.034479848036479</v>
      </c>
      <c r="O13">
        <v>20.652364654427679</v>
      </c>
      <c r="P13">
        <v>-6.6178848063911904</v>
      </c>
      <c r="Q13">
        <v>-0.32044198895027631</v>
      </c>
    </row>
    <row r="14" spans="1:17" x14ac:dyDescent="0.35">
      <c r="A14" t="s">
        <v>34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34</v>
      </c>
      <c r="H14">
        <v>34</v>
      </c>
      <c r="I14">
        <v>13.87881512448797</v>
      </c>
      <c r="J14">
        <v>48.411764705882348</v>
      </c>
      <c r="K14">
        <v>31.941176470588239</v>
      </c>
      <c r="L14">
        <v>16.470588235294109</v>
      </c>
      <c r="M14">
        <v>0.5156537753222834</v>
      </c>
      <c r="N14">
        <v>17.200961636667959</v>
      </c>
      <c r="O14">
        <v>26.07070244378956</v>
      </c>
      <c r="P14">
        <v>-8.8697408071215982</v>
      </c>
      <c r="Q14">
        <v>-0.3402187120291616</v>
      </c>
    </row>
    <row r="15" spans="1:17" x14ac:dyDescent="0.35">
      <c r="A15" t="s">
        <v>34</v>
      </c>
      <c r="B15" t="s">
        <v>18</v>
      </c>
      <c r="C15" t="s">
        <v>27</v>
      </c>
      <c r="D15" t="s">
        <v>22</v>
      </c>
      <c r="E15" t="s">
        <v>19</v>
      </c>
      <c r="F15" t="s">
        <v>20</v>
      </c>
      <c r="G15">
        <v>34</v>
      </c>
      <c r="H15">
        <v>34</v>
      </c>
      <c r="I15">
        <v>13.865237622810159</v>
      </c>
      <c r="J15">
        <v>45.705882352941181</v>
      </c>
      <c r="K15">
        <v>32.235294117647058</v>
      </c>
      <c r="L15">
        <v>13.47058823529412</v>
      </c>
      <c r="M15">
        <v>0.4178832116788323</v>
      </c>
      <c r="N15">
        <v>18.201470238438048</v>
      </c>
      <c r="O15">
        <v>25.807559078953219</v>
      </c>
      <c r="P15">
        <v>-7.6060888405151736</v>
      </c>
      <c r="Q15">
        <v>-0.29472329472329478</v>
      </c>
    </row>
    <row r="16" spans="1:17" x14ac:dyDescent="0.35">
      <c r="A16" t="s">
        <v>34</v>
      </c>
      <c r="B16" t="s">
        <v>30</v>
      </c>
      <c r="C16" t="s">
        <v>19</v>
      </c>
      <c r="D16" t="s">
        <v>20</v>
      </c>
      <c r="E16" t="s">
        <v>31</v>
      </c>
      <c r="F16" t="s">
        <v>32</v>
      </c>
      <c r="G16">
        <v>35</v>
      </c>
      <c r="H16">
        <v>35</v>
      </c>
      <c r="I16">
        <v>8.4810273738695674</v>
      </c>
      <c r="J16">
        <v>34.428571428571431</v>
      </c>
      <c r="K16">
        <v>22.542857142857141</v>
      </c>
      <c r="L16">
        <v>11.88571428571429</v>
      </c>
      <c r="M16">
        <v>0.52724968314321929</v>
      </c>
      <c r="N16">
        <v>14.780213680602561</v>
      </c>
      <c r="O16">
        <v>22.573076660489338</v>
      </c>
      <c r="P16">
        <v>-7.7928629798867766</v>
      </c>
      <c r="Q16">
        <v>-0.34522821576763491</v>
      </c>
    </row>
    <row r="17" spans="1:17" x14ac:dyDescent="0.35">
      <c r="A17" t="s">
        <v>34</v>
      </c>
      <c r="B17" t="s">
        <v>30</v>
      </c>
      <c r="C17" t="s">
        <v>31</v>
      </c>
      <c r="D17" t="s">
        <v>32</v>
      </c>
      <c r="E17" t="s">
        <v>19</v>
      </c>
      <c r="F17" t="s">
        <v>20</v>
      </c>
      <c r="G17">
        <v>35</v>
      </c>
      <c r="H17">
        <v>35</v>
      </c>
      <c r="I17">
        <v>8.4674695083153466</v>
      </c>
      <c r="J17">
        <v>34.514285714285712</v>
      </c>
      <c r="K17">
        <v>23.714285714285719</v>
      </c>
      <c r="L17">
        <v>10.8</v>
      </c>
      <c r="M17">
        <v>0.4554216867469878</v>
      </c>
      <c r="N17">
        <v>14.719938714786609</v>
      </c>
      <c r="O17">
        <v>21.42371803308702</v>
      </c>
      <c r="P17">
        <v>-6.7037793183004108</v>
      </c>
      <c r="Q17">
        <v>-0.31291390728476831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/>
  </sheetViews>
  <sheetFormatPr defaultRowHeight="14.5" x14ac:dyDescent="0.35"/>
  <sheetData>
    <row r="1" spans="1:15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304</v>
      </c>
      <c r="G2">
        <v>13.87881512448797</v>
      </c>
      <c r="H2">
        <v>49.891447368421048</v>
      </c>
      <c r="I2">
        <v>33.348684210526322</v>
      </c>
      <c r="J2">
        <v>16.54276315789474</v>
      </c>
      <c r="K2">
        <v>0.49605444860919318</v>
      </c>
      <c r="L2">
        <v>16.690814786751542</v>
      </c>
      <c r="M2">
        <v>24.970367712631742</v>
      </c>
      <c r="N2">
        <v>-8.2795529258802034</v>
      </c>
      <c r="O2">
        <v>-0.33157513021691842</v>
      </c>
    </row>
    <row r="3" spans="1:15" x14ac:dyDescent="0.35">
      <c r="A3" t="s">
        <v>18</v>
      </c>
      <c r="B3" t="s">
        <v>19</v>
      </c>
      <c r="C3" t="s">
        <v>20</v>
      </c>
      <c r="D3" t="s">
        <v>23</v>
      </c>
      <c r="E3" t="s">
        <v>24</v>
      </c>
      <c r="F3">
        <v>5</v>
      </c>
      <c r="G3">
        <v>12.714801870361519</v>
      </c>
      <c r="H3">
        <v>40</v>
      </c>
      <c r="I3">
        <v>23</v>
      </c>
      <c r="J3">
        <v>17</v>
      </c>
      <c r="K3">
        <v>0.73913043478260865</v>
      </c>
      <c r="L3">
        <v>19.072202805542279</v>
      </c>
      <c r="M3">
        <v>33.169048357464838</v>
      </c>
      <c r="N3">
        <v>-14.096845551922559</v>
      </c>
      <c r="O3">
        <v>-0.4250000000000001</v>
      </c>
    </row>
    <row r="4" spans="1:15" x14ac:dyDescent="0.35">
      <c r="A4" t="s">
        <v>18</v>
      </c>
      <c r="B4" t="s">
        <v>19</v>
      </c>
      <c r="C4" t="s">
        <v>20</v>
      </c>
      <c r="D4" t="s">
        <v>25</v>
      </c>
      <c r="E4" t="s">
        <v>26</v>
      </c>
      <c r="F4">
        <v>15</v>
      </c>
      <c r="G4">
        <v>8.8111203099554984</v>
      </c>
      <c r="H4">
        <v>31.333333333333329</v>
      </c>
      <c r="I4">
        <v>18.666666666666671</v>
      </c>
      <c r="J4">
        <v>12.666666666666661</v>
      </c>
      <c r="K4">
        <v>0.67857142857142838</v>
      </c>
      <c r="L4">
        <v>16.87235804034032</v>
      </c>
      <c r="M4">
        <v>28.321458139142671</v>
      </c>
      <c r="N4">
        <v>-11.449100098802351</v>
      </c>
      <c r="O4">
        <v>-0.40425531914893609</v>
      </c>
    </row>
    <row r="5" spans="1:15" x14ac:dyDescent="0.35">
      <c r="A5" t="s">
        <v>18</v>
      </c>
      <c r="B5" t="s">
        <v>27</v>
      </c>
      <c r="C5" t="s">
        <v>22</v>
      </c>
      <c r="D5" t="s">
        <v>19</v>
      </c>
      <c r="E5" t="s">
        <v>20</v>
      </c>
      <c r="F5">
        <v>304</v>
      </c>
      <c r="G5">
        <v>13.865237622810159</v>
      </c>
      <c r="H5">
        <v>48.51973684210526</v>
      </c>
      <c r="I5">
        <v>33.878289473684212</v>
      </c>
      <c r="J5">
        <v>14.64144736842105</v>
      </c>
      <c r="K5">
        <v>0.43217788134770352</v>
      </c>
      <c r="L5">
        <v>17.145893846783551</v>
      </c>
      <c r="M5">
        <v>24.555969923299092</v>
      </c>
      <c r="N5">
        <v>-7.4100760765155407</v>
      </c>
      <c r="O5">
        <v>-0.30176271186440667</v>
      </c>
    </row>
    <row r="6" spans="1:15" x14ac:dyDescent="0.35">
      <c r="A6" t="s">
        <v>18</v>
      </c>
      <c r="B6" t="s">
        <v>28</v>
      </c>
      <c r="C6" t="s">
        <v>24</v>
      </c>
      <c r="D6" t="s">
        <v>19</v>
      </c>
      <c r="E6" t="s">
        <v>20</v>
      </c>
      <c r="F6">
        <v>5</v>
      </c>
      <c r="G6">
        <v>12.701224368683709</v>
      </c>
      <c r="H6">
        <v>38</v>
      </c>
      <c r="I6">
        <v>25</v>
      </c>
      <c r="J6">
        <v>13</v>
      </c>
      <c r="K6">
        <v>0.52</v>
      </c>
      <c r="L6">
        <v>20.054564792658489</v>
      </c>
      <c r="M6">
        <v>30.482938484840901</v>
      </c>
      <c r="N6">
        <v>-10.42837369218241</v>
      </c>
      <c r="O6">
        <v>-0.34210526315789458</v>
      </c>
    </row>
    <row r="7" spans="1:15" x14ac:dyDescent="0.35">
      <c r="A7" t="s">
        <v>18</v>
      </c>
      <c r="B7" t="s">
        <v>29</v>
      </c>
      <c r="C7" t="s">
        <v>26</v>
      </c>
      <c r="D7" t="s">
        <v>19</v>
      </c>
      <c r="E7" t="s">
        <v>20</v>
      </c>
      <c r="F7">
        <v>15</v>
      </c>
      <c r="G7">
        <v>8.7975428082776936</v>
      </c>
      <c r="H7">
        <v>31</v>
      </c>
      <c r="I7">
        <v>21.333333333333329</v>
      </c>
      <c r="J7">
        <v>9.6666666666666679</v>
      </c>
      <c r="K7">
        <v>0.45312500000000011</v>
      </c>
      <c r="L7">
        <v>17.027502209569729</v>
      </c>
      <c r="M7">
        <v>24.743089148281019</v>
      </c>
      <c r="N7">
        <v>-7.715586938711283</v>
      </c>
      <c r="O7">
        <v>-0.31182795698924731</v>
      </c>
    </row>
    <row r="8" spans="1:15" x14ac:dyDescent="0.35">
      <c r="A8" t="s">
        <v>30</v>
      </c>
      <c r="B8" t="s">
        <v>19</v>
      </c>
      <c r="C8" t="s">
        <v>20</v>
      </c>
      <c r="D8" t="s">
        <v>31</v>
      </c>
      <c r="E8" t="s">
        <v>32</v>
      </c>
      <c r="F8">
        <v>345</v>
      </c>
      <c r="G8">
        <v>8.4810273738695674</v>
      </c>
      <c r="H8">
        <v>36.408695652173911</v>
      </c>
      <c r="I8">
        <v>24.895652173913039</v>
      </c>
      <c r="J8">
        <v>11.513043478260871</v>
      </c>
      <c r="K8">
        <v>0.46245197345441841</v>
      </c>
      <c r="L8">
        <v>13.97637661325532</v>
      </c>
      <c r="M8">
        <v>20.439779559797419</v>
      </c>
      <c r="N8">
        <v>-6.4634029465421019</v>
      </c>
      <c r="O8">
        <v>-0.3162168617148316</v>
      </c>
    </row>
    <row r="9" spans="1:15" x14ac:dyDescent="0.35">
      <c r="A9" t="s">
        <v>30</v>
      </c>
      <c r="B9" t="s">
        <v>31</v>
      </c>
      <c r="C9" t="s">
        <v>32</v>
      </c>
      <c r="D9" t="s">
        <v>19</v>
      </c>
      <c r="E9" t="s">
        <v>20</v>
      </c>
      <c r="F9">
        <v>345</v>
      </c>
      <c r="G9">
        <v>8.4674695083153466</v>
      </c>
      <c r="H9">
        <v>36.347826086956523</v>
      </c>
      <c r="I9">
        <v>25.59710144927536</v>
      </c>
      <c r="J9">
        <v>10.750724637681159</v>
      </c>
      <c r="K9">
        <v>0.41999773525082101</v>
      </c>
      <c r="L9">
        <v>13.97740181994638</v>
      </c>
      <c r="M9">
        <v>19.84787892901457</v>
      </c>
      <c r="N9">
        <v>-5.8704771090681849</v>
      </c>
      <c r="O9">
        <v>-0.29577352472089308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/>
  </sheetViews>
  <sheetFormatPr defaultRowHeight="14.5" x14ac:dyDescent="0.35"/>
  <sheetData>
    <row r="1" spans="1:16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11</v>
      </c>
      <c r="L1" s="1" t="s">
        <v>12</v>
      </c>
      <c r="M1" s="1" t="s">
        <v>39</v>
      </c>
      <c r="N1" s="1" t="s">
        <v>40</v>
      </c>
      <c r="O1" s="1" t="s">
        <v>15</v>
      </c>
      <c r="P1" s="1" t="s">
        <v>16</v>
      </c>
    </row>
    <row r="2" spans="1:16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69</v>
      </c>
      <c r="G2">
        <v>13.87881512448797</v>
      </c>
      <c r="H2">
        <v>16.764191686263789</v>
      </c>
      <c r="I2">
        <v>48.869565217391298</v>
      </c>
      <c r="J2">
        <v>50.608695652173907</v>
      </c>
      <c r="K2">
        <v>-1.739130434782616</v>
      </c>
      <c r="L2">
        <v>-3.4364261168385028E-2</v>
      </c>
      <c r="M2">
        <v>17.039826398392709</v>
      </c>
      <c r="N2">
        <v>19.87507261773542</v>
      </c>
      <c r="O2">
        <v>-2.8352462193427179</v>
      </c>
      <c r="P2">
        <v>-0.1426533766127073</v>
      </c>
    </row>
    <row r="3" spans="1:16" x14ac:dyDescent="0.35">
      <c r="A3" t="s">
        <v>18</v>
      </c>
      <c r="B3" t="s">
        <v>27</v>
      </c>
      <c r="C3" t="s">
        <v>22</v>
      </c>
      <c r="D3" t="s">
        <v>19</v>
      </c>
      <c r="E3" t="s">
        <v>20</v>
      </c>
      <c r="F3">
        <v>69</v>
      </c>
      <c r="G3">
        <v>13.865237622810159</v>
      </c>
      <c r="H3">
        <v>16.2631165186442</v>
      </c>
      <c r="I3">
        <v>47.10144927536232</v>
      </c>
      <c r="J3">
        <v>52.652173913043477</v>
      </c>
      <c r="K3">
        <v>-5.5507246376811574</v>
      </c>
      <c r="L3">
        <v>-0.1054225158271401</v>
      </c>
      <c r="M3">
        <v>17.66217961797971</v>
      </c>
      <c r="N3">
        <v>18.532700904813382</v>
      </c>
      <c r="O3">
        <v>-0.87052128683366448</v>
      </c>
      <c r="P3">
        <v>-4.6972175901655533E-2</v>
      </c>
    </row>
    <row r="4" spans="1:16" x14ac:dyDescent="0.35">
      <c r="A4" t="s">
        <v>30</v>
      </c>
      <c r="B4" t="s">
        <v>19</v>
      </c>
      <c r="C4" t="s">
        <v>20</v>
      </c>
      <c r="D4" t="s">
        <v>31</v>
      </c>
      <c r="E4" t="s">
        <v>32</v>
      </c>
      <c r="F4">
        <v>70</v>
      </c>
      <c r="G4">
        <v>8.4810273738695674</v>
      </c>
      <c r="H4">
        <v>10.0471425718227</v>
      </c>
      <c r="I4">
        <v>34.728571428571428</v>
      </c>
      <c r="J4">
        <v>36.028571428571432</v>
      </c>
      <c r="K4">
        <v>-1.300000000000004</v>
      </c>
      <c r="L4">
        <v>-3.6082474226804238E-2</v>
      </c>
      <c r="M4">
        <v>14.652535981181479</v>
      </c>
      <c r="N4">
        <v>16.731958287730109</v>
      </c>
      <c r="O4">
        <v>-2.0794223065486288</v>
      </c>
      <c r="P4">
        <v>-0.1242784777962011</v>
      </c>
    </row>
    <row r="5" spans="1:16" x14ac:dyDescent="0.35">
      <c r="A5" t="s">
        <v>30</v>
      </c>
      <c r="B5" t="s">
        <v>31</v>
      </c>
      <c r="C5" t="s">
        <v>32</v>
      </c>
      <c r="D5" t="s">
        <v>19</v>
      </c>
      <c r="E5" t="s">
        <v>20</v>
      </c>
      <c r="F5">
        <v>70</v>
      </c>
      <c r="G5">
        <v>8.4674695083153466</v>
      </c>
      <c r="H5">
        <v>10.379592299411319</v>
      </c>
      <c r="I5">
        <v>35.357142857142847</v>
      </c>
      <c r="J5">
        <v>42.385714285714293</v>
      </c>
      <c r="K5">
        <v>-7.028571428571432</v>
      </c>
      <c r="L5">
        <v>-0.1658240647118302</v>
      </c>
      <c r="M5">
        <v>14.36903916562604</v>
      </c>
      <c r="N5">
        <v>14.693052799975581</v>
      </c>
      <c r="O5">
        <v>-0.3240136343495319</v>
      </c>
      <c r="P5">
        <v>-2.20521656568246E-2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C39A-2C93-4D5B-986B-FDB19A018DB8}">
  <sheetPr>
    <tabColor theme="0" tint="-0.14999847407452621"/>
  </sheetPr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CC04-8957-4A90-AE5B-8866439622A1}">
  <dimension ref="A1:J4"/>
  <sheetViews>
    <sheetView workbookViewId="0"/>
  </sheetViews>
  <sheetFormatPr defaultRowHeight="14.5" x14ac:dyDescent="0.35"/>
  <sheetData>
    <row r="1" spans="1:10" s="1" customFormat="1" x14ac:dyDescent="0.35">
      <c r="A1" s="1" t="s">
        <v>1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5">
      <c r="A2" t="s">
        <v>18</v>
      </c>
      <c r="B2">
        <v>208.46728849607021</v>
      </c>
      <c r="C2">
        <v>11366557.51154823</v>
      </c>
      <c r="D2">
        <v>9566164.5189999994</v>
      </c>
      <c r="E2">
        <v>1800392.992548228</v>
      </c>
      <c r="F2">
        <v>0.18820426817585531</v>
      </c>
      <c r="G2">
        <v>16.002023752038841</v>
      </c>
      <c r="H2">
        <v>13.4674013388332</v>
      </c>
      <c r="I2">
        <v>2.534622413205637</v>
      </c>
      <c r="J2">
        <v>0.18820426817585539</v>
      </c>
    </row>
    <row r="3" spans="1:10" x14ac:dyDescent="0.35">
      <c r="A3" t="s">
        <v>30</v>
      </c>
      <c r="B3">
        <v>208.46728848084419</v>
      </c>
      <c r="C3">
        <v>7188416.8127785157</v>
      </c>
      <c r="D3">
        <v>5800677.8689999999</v>
      </c>
      <c r="E3">
        <v>1387738.943778516</v>
      </c>
      <c r="F3">
        <v>0.2392373745135675</v>
      </c>
      <c r="G3">
        <v>9.8807951637748772</v>
      </c>
      <c r="H3">
        <v>7.9732869319353306</v>
      </c>
      <c r="I3">
        <v>1.9075082318395471</v>
      </c>
      <c r="J3">
        <v>0.23923737451356761</v>
      </c>
    </row>
    <row r="4" spans="1:10" x14ac:dyDescent="0.35">
      <c r="A4" t="s">
        <v>72</v>
      </c>
      <c r="B4">
        <v>208.4672884901828</v>
      </c>
      <c r="C4">
        <v>18554974.32433806</v>
      </c>
      <c r="D4">
        <v>15366842.388</v>
      </c>
      <c r="E4">
        <v>3188131.9363380638</v>
      </c>
      <c r="F4">
        <v>0.20746825247766471</v>
      </c>
      <c r="G4">
        <v>12.90480982111848</v>
      </c>
      <c r="H4">
        <v>10.687494097371459</v>
      </c>
      <c r="I4">
        <v>2.217315723747014</v>
      </c>
      <c r="J4">
        <v>0.20746825247766471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BC9C-27CC-4A93-9ED3-A431ACE5F37A}">
  <dimension ref="A1:I3"/>
  <sheetViews>
    <sheetView workbookViewId="0"/>
  </sheetViews>
  <sheetFormatPr defaultRowHeight="14.5" x14ac:dyDescent="0.35"/>
  <sheetData>
    <row r="1" spans="1:9" s="1" customFormat="1" x14ac:dyDescent="0.35">
      <c r="A1" s="1" t="s">
        <v>1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35">
      <c r="A2" t="s">
        <v>18</v>
      </c>
      <c r="B2">
        <v>710320</v>
      </c>
      <c r="E2">
        <v>7</v>
      </c>
      <c r="F2">
        <v>1.4524999999999999</v>
      </c>
      <c r="G2">
        <v>2.9049999999999998</v>
      </c>
      <c r="H2">
        <v>757.37499999999989</v>
      </c>
      <c r="I2">
        <v>1031739.8</v>
      </c>
    </row>
    <row r="3" spans="1:9" x14ac:dyDescent="0.35">
      <c r="A3" t="s">
        <v>30</v>
      </c>
      <c r="B3">
        <v>727514</v>
      </c>
      <c r="E3">
        <v>7</v>
      </c>
      <c r="F3">
        <v>1.4524999999999999</v>
      </c>
      <c r="G3">
        <v>2.9049999999999998</v>
      </c>
      <c r="H3">
        <v>757.37499999999989</v>
      </c>
      <c r="I3">
        <v>1056714.085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D568-D966-4EA7-926A-1B110E827362}">
  <dimension ref="A1:I3"/>
  <sheetViews>
    <sheetView workbookViewId="0"/>
  </sheetViews>
  <sheetFormatPr defaultRowHeight="14.5" x14ac:dyDescent="0.35"/>
  <sheetData>
    <row r="1" spans="1:9" s="1" customFormat="1" x14ac:dyDescent="0.35">
      <c r="A1" s="1" t="s">
        <v>1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35">
      <c r="A2" t="s">
        <v>18</v>
      </c>
      <c r="B2">
        <v>710320</v>
      </c>
      <c r="E2">
        <v>9</v>
      </c>
      <c r="F2">
        <v>1.8674999999999999</v>
      </c>
      <c r="G2">
        <v>3.7349999999999999</v>
      </c>
      <c r="H2">
        <v>973.76785714285711</v>
      </c>
      <c r="I2">
        <v>1326522.6000000001</v>
      </c>
    </row>
    <row r="3" spans="1:9" x14ac:dyDescent="0.35">
      <c r="A3" t="s">
        <v>30</v>
      </c>
      <c r="B3">
        <v>727514</v>
      </c>
      <c r="E3">
        <v>9</v>
      </c>
      <c r="F3">
        <v>1.8674999999999999</v>
      </c>
      <c r="G3">
        <v>3.7349999999999999</v>
      </c>
      <c r="H3">
        <v>973.76785714285711</v>
      </c>
      <c r="I3">
        <v>1358632.395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01B0-30E9-4F47-A9E5-77AEE44B7CBB}">
  <dimension ref="A1:I3"/>
  <sheetViews>
    <sheetView workbookViewId="0"/>
  </sheetViews>
  <sheetFormatPr defaultRowHeight="14.5" x14ac:dyDescent="0.35"/>
  <sheetData>
    <row r="1" spans="1:9" s="1" customFormat="1" x14ac:dyDescent="0.35">
      <c r="A1" s="1" t="s">
        <v>1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35">
      <c r="A2" t="s">
        <v>18</v>
      </c>
      <c r="B2">
        <v>710320</v>
      </c>
      <c r="C2">
        <v>12.755180775062369</v>
      </c>
      <c r="D2">
        <v>8.6867672156392732</v>
      </c>
      <c r="E2">
        <v>4.0684135594230986</v>
      </c>
      <c r="F2">
        <v>0.84419581358029316</v>
      </c>
      <c r="G2">
        <v>1.6883916271605861</v>
      </c>
      <c r="H2">
        <v>440.18781708115279</v>
      </c>
      <c r="I2">
        <v>599649.1703023538</v>
      </c>
    </row>
    <row r="3" spans="1:9" x14ac:dyDescent="0.35">
      <c r="A3" t="s">
        <v>30</v>
      </c>
      <c r="B3">
        <v>727514</v>
      </c>
      <c r="C3">
        <v>10.97951073163981</v>
      </c>
      <c r="D3">
        <v>7.6197393309097414</v>
      </c>
      <c r="E3">
        <v>3.359771400730065</v>
      </c>
      <c r="F3">
        <v>0.69715256565148853</v>
      </c>
      <c r="G3">
        <v>1.3943051313029771</v>
      </c>
      <c r="H3">
        <v>363.51526637541912</v>
      </c>
      <c r="I3">
        <v>507188.25164737698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34CB-2628-4CB0-A29C-AE330A4AD4E0}">
  <sheetPr>
    <tabColor theme="0" tint="-0.14999847407452621"/>
  </sheetPr>
  <dimension ref="A1"/>
  <sheetViews>
    <sheetView showGridLines="0" topLeftCell="A5" workbookViewId="0">
      <selection activeCell="P38" sqref="P37:P38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512A-E3BB-46AA-9A50-0D321BAE97E9}">
  <dimension ref="A1:E5"/>
  <sheetViews>
    <sheetView workbookViewId="0"/>
  </sheetViews>
  <sheetFormatPr defaultRowHeight="14.5" x14ac:dyDescent="0.35"/>
  <sheetData>
    <row r="1" spans="1:5" s="1" customFormat="1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5">
      <c r="A2" t="s">
        <v>67</v>
      </c>
      <c r="B2">
        <v>43397</v>
      </c>
      <c r="C2">
        <v>171463</v>
      </c>
      <c r="D2">
        <v>-128066</v>
      </c>
      <c r="E2">
        <v>-0.74690166391583024</v>
      </c>
    </row>
    <row r="3" spans="1:5" x14ac:dyDescent="0.35">
      <c r="A3" t="s">
        <v>22</v>
      </c>
      <c r="B3">
        <v>28888</v>
      </c>
      <c r="C3">
        <v>34990</v>
      </c>
      <c r="D3">
        <v>-6102</v>
      </c>
      <c r="E3">
        <v>-0.17439268362389251</v>
      </c>
    </row>
    <row r="4" spans="1:5" x14ac:dyDescent="0.35">
      <c r="A4" t="s">
        <v>68</v>
      </c>
      <c r="B4">
        <v>38105</v>
      </c>
      <c r="C4">
        <v>42441</v>
      </c>
      <c r="D4">
        <v>-4336</v>
      </c>
      <c r="E4">
        <v>-0.10216535896892159</v>
      </c>
    </row>
    <row r="5" spans="1:5" x14ac:dyDescent="0.35">
      <c r="A5" t="s">
        <v>20</v>
      </c>
      <c r="B5">
        <v>545755</v>
      </c>
      <c r="C5">
        <v>554762</v>
      </c>
      <c r="D5">
        <v>-9007</v>
      </c>
      <c r="E5">
        <v>-1.6235791204156021E-2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opex_comp</vt:lpstr>
      <vt:lpstr>accessibility_comp</vt:lpstr>
      <vt:lpstr>added_time_costs</vt:lpstr>
      <vt:lpstr>full_length_comp</vt:lpstr>
      <vt:lpstr>r_output &gt;&gt;</vt:lpstr>
      <vt:lpstr>trip_comparison &gt;</vt:lpstr>
      <vt:lpstr>route_shape_direction_day_comp</vt:lpstr>
      <vt:lpstr>route_shape_direction_comp</vt:lpstr>
      <vt:lpstr>route_shape_direction_bus_comp</vt:lpstr>
      <vt:lpstr>added_costs &gt;</vt:lpstr>
      <vt:lpstr>delta_opex</vt:lpstr>
      <vt:lpstr>delta_time_costs_min</vt:lpstr>
      <vt:lpstr>delta_time_costs_max</vt:lpstr>
      <vt:lpstr>delta_time_costs_estimate</vt:lpstr>
      <vt:lpstr>accessibility &gt;</vt:lpstr>
      <vt:lpstr>jobs_comp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 Yacobi</dc:creator>
  <cp:lastModifiedBy>Yacobi, Aden D</cp:lastModifiedBy>
  <dcterms:created xsi:type="dcterms:W3CDTF">2026-02-28T23:18:55Z</dcterms:created>
  <dcterms:modified xsi:type="dcterms:W3CDTF">2026-03-02T16:53:37Z</dcterms:modified>
</cp:coreProperties>
</file>