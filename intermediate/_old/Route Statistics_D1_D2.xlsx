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n8\Documents\Urban Planning Projects\SEPTA D Lines\intermediate\"/>
    </mc:Choice>
  </mc:AlternateContent>
  <xr:revisionPtr revIDLastSave="0" documentId="13_ncr:9_{621025EE-3612-4790-AACA-622D5E09EA00}" xr6:coauthVersionLast="47" xr6:coauthVersionMax="47" xr10:uidLastSave="{00000000-0000-0000-0000-000000000000}"/>
  <bookViews>
    <workbookView xWindow="-110" yWindow="-110" windowWidth="25820" windowHeight="15500" activeTab="2" xr2:uid="{AAF86E4F-8E74-4EFF-B730-2DE949713EA2}"/>
  </bookViews>
  <sheets>
    <sheet name="regression" sheetId="4" r:id="rId1"/>
    <sheet name="input &gt;&gt;" sheetId="5" r:id="rId2"/>
    <sheet name="Route Statistics_D1_D2" sheetId="1" r:id="rId3"/>
  </sheets>
  <calcPr calcId="0"/>
</workbook>
</file>

<file path=xl/sharedStrings.xml><?xml version="1.0" encoding="utf-8"?>
<sst xmlns="http://schemas.openxmlformats.org/spreadsheetml/2006/main" count="93" uniqueCount="52">
  <si>
    <t>Fiscal Year</t>
  </si>
  <si>
    <t>Division</t>
  </si>
  <si>
    <t>Route ID</t>
  </si>
  <si>
    <t>Passenger Miles</t>
  </si>
  <si>
    <t>Avg. Cost Per Passenger</t>
  </si>
  <si>
    <t>Avg. Passengers Per Hour</t>
  </si>
  <si>
    <t>Annual Passengers</t>
  </si>
  <si>
    <t>Avearge Trip Length</t>
  </si>
  <si>
    <t>Average Weekday Passengers</t>
  </si>
  <si>
    <t>Fully Allocated Expenses</t>
  </si>
  <si>
    <t>Operating Ratio</t>
  </si>
  <si>
    <t>Passenger Revenue</t>
  </si>
  <si>
    <t>Peak Vehicles</t>
  </si>
  <si>
    <t>Variable Expenses</t>
  </si>
  <si>
    <t>Vehicle Hours</t>
  </si>
  <si>
    <t>Vehicle Miles</t>
  </si>
  <si>
    <t>Metro</t>
  </si>
  <si>
    <t>D1</t>
  </si>
  <si>
    <t>D2</t>
  </si>
  <si>
    <t>https://public.tableau.com/app/profile/septa.data.group/viz/RouteOperatingStatistics/SystemPerformanceByRoute</t>
  </si>
  <si>
    <t>Source: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</si>
  <si>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</si>
  <si>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</si>
  <si>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</si>
  <si>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</si>
  <si>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</si>
  <si>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</si>
  <si>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</si>
  <si>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</si>
  <si>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</si>
  <si>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</si>
  <si>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</si>
  <si>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</si>
  <si>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</si>
  <si>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</si>
  <si>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</si>
  <si>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</si>
  <si>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</si>
  <si>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</si>
  <si>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</si>
  <si>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</si>
  <si>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</si>
  <si>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</si>
  <si>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</si>
  <si>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</si>
  <si>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</si>
  <si>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</si>
  <si>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Fully Allocated Expenses</t>
  </si>
  <si>
    <t>Residuals</t>
  </si>
  <si>
    <t>Standard 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</si>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</sst>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8" fillId="33" borderId="0" xfId="42" applyFill="1"/>
    <xf numFmtId="0" fontId="0" fillId="0" borderId="0" xfId="0" applyFill="1" applyBorder="1" applyAlignment="1"/>
    <xf numFmtId="0" fontId="0" fillId="0" borderId="10" xfId="0" applyFill="1" applyBorder="1" applyAlignment="1"/>
    <xf numFmtId="0" fontId="19" fillId="0" borderId="11" xfId="0" applyFont="1" applyFill="1" applyBorder="1" applyAlignment="1">
      <alignment horizontal="center"/>
    </xf>
    <xf numFmtId="0" fontId="19" fillId="0" borderId="11" xfId="0" applyFont="1" applyFill="1" applyBorder="1" applyAlignment="1">
      <alignment horizontal="centerContinuous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Vehicle Hours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'Route Statistics_D1_D2'!$O$3:$O$22</c:f>
              <c:numCache>
                <c:formatCode>General</c:formatCode>
                <c:ptCount val="20"/>
                <c:pt idx="0">
                  <c:v>32656</c:v>
                </c:pt>
                <c:pt idx="1">
                  <c:v>21771</c:v>
                </c:pt>
                <c:pt idx="2">
                  <c:v>33947</c:v>
                </c:pt>
                <c:pt idx="3">
                  <c:v>22631</c:v>
                </c:pt>
                <c:pt idx="4">
                  <c:v>32313</c:v>
                </c:pt>
                <c:pt idx="5">
                  <c:v>20659</c:v>
                </c:pt>
                <c:pt idx="6">
                  <c:v>28840</c:v>
                </c:pt>
                <c:pt idx="7">
                  <c:v>18438</c:v>
                </c:pt>
                <c:pt idx="8">
                  <c:v>31114</c:v>
                </c:pt>
                <c:pt idx="9">
                  <c:v>23103</c:v>
                </c:pt>
                <c:pt idx="10">
                  <c:v>29948</c:v>
                </c:pt>
                <c:pt idx="11">
                  <c:v>22176</c:v>
                </c:pt>
                <c:pt idx="12">
                  <c:v>26359.226666667</c:v>
                </c:pt>
                <c:pt idx="13">
                  <c:v>16617.773333333</c:v>
                </c:pt>
                <c:pt idx="14">
                  <c:v>21134.853333333002</c:v>
                </c:pt>
                <c:pt idx="15">
                  <c:v>13324.146666667</c:v>
                </c:pt>
                <c:pt idx="16">
                  <c:v>27883.360000000001</c:v>
                </c:pt>
                <c:pt idx="17">
                  <c:v>17578.64</c:v>
                </c:pt>
                <c:pt idx="18">
                  <c:v>27176.799999999999</c:v>
                </c:pt>
                <c:pt idx="19">
                  <c:v>17133.2</c:v>
                </c:pt>
              </c:numCache>
            </c:numRef>
          </c:xVal>
          <c:yVal>
            <c:numRef>
              <c:f>regression!$C$26:$C$45</c:f>
              <c:numCache>
                <c:formatCode>General</c:formatCode>
                <c:ptCount val="20"/>
                <c:pt idx="0">
                  <c:v>175775.58539401647</c:v>
                </c:pt>
                <c:pt idx="1">
                  <c:v>-167881.71509309951</c:v>
                </c:pt>
                <c:pt idx="2">
                  <c:v>-398195.16465452965</c:v>
                </c:pt>
                <c:pt idx="3">
                  <c:v>-878614.05475759599</c:v>
                </c:pt>
                <c:pt idx="4">
                  <c:v>-1039156.6437108191</c:v>
                </c:pt>
                <c:pt idx="5">
                  <c:v>-972808.52111454774</c:v>
                </c:pt>
                <c:pt idx="6">
                  <c:v>-707586.65108979866</c:v>
                </c:pt>
                <c:pt idx="7">
                  <c:v>-1169472.5880813128</c:v>
                </c:pt>
                <c:pt idx="8">
                  <c:v>204453.55945776589</c:v>
                </c:pt>
                <c:pt idx="9">
                  <c:v>-1023438.2871013191</c:v>
                </c:pt>
                <c:pt idx="10">
                  <c:v>-223878.64785756171</c:v>
                </c:pt>
                <c:pt idx="11">
                  <c:v>-1320969.1897226078</c:v>
                </c:pt>
                <c:pt idx="12">
                  <c:v>113487.9878476914</c:v>
                </c:pt>
                <c:pt idx="13">
                  <c:v>-345421.79005892808</c:v>
                </c:pt>
                <c:pt idx="14">
                  <c:v>994058.24701926857</c:v>
                </c:pt>
                <c:pt idx="15">
                  <c:v>206125.00063883746</c:v>
                </c:pt>
                <c:pt idx="16">
                  <c:v>1641898.5061112465</c:v>
                </c:pt>
                <c:pt idx="17">
                  <c:v>601312.20142456703</c:v>
                </c:pt>
                <c:pt idx="18">
                  <c:v>2890857.3689875733</c:v>
                </c:pt>
                <c:pt idx="19">
                  <c:v>1419454.7963611642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11-4F14-B212-D2B45A1F4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123184"/>
        <c:axId val="872119344"/>
      </c:scatterChart>
      <c:valAx>
        <c:axId val="872123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 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119344"/>
        <c:crosses val="autoZero"/>
        <c:crossBetween val="midCat"/>
      </c:valAx>
      <c:valAx>
        <c:axId val="8721193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12318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Vehicle Miles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'Route Statistics_D1_D2'!$P$3:$P$22</c:f>
              <c:numCache>
                <c:formatCode>General</c:formatCode>
                <c:ptCount val="20"/>
                <c:pt idx="0">
                  <c:v>339168</c:v>
                </c:pt>
                <c:pt idx="1">
                  <c:v>210541</c:v>
                </c:pt>
                <c:pt idx="2">
                  <c:v>342419.48761788802</c:v>
                </c:pt>
                <c:pt idx="3">
                  <c:v>212047.51238211201</c:v>
                </c:pt>
                <c:pt idx="4">
                  <c:v>323863</c:v>
                </c:pt>
                <c:pt idx="5">
                  <c:v>200556</c:v>
                </c:pt>
                <c:pt idx="6">
                  <c:v>276962</c:v>
                </c:pt>
                <c:pt idx="7">
                  <c:v>172182</c:v>
                </c:pt>
                <c:pt idx="8">
                  <c:v>329379</c:v>
                </c:pt>
                <c:pt idx="9">
                  <c:v>201943</c:v>
                </c:pt>
                <c:pt idx="10">
                  <c:v>312438</c:v>
                </c:pt>
                <c:pt idx="11">
                  <c:v>193160</c:v>
                </c:pt>
                <c:pt idx="12">
                  <c:v>245139.52</c:v>
                </c:pt>
                <c:pt idx="13">
                  <c:v>154544.48000000001</c:v>
                </c:pt>
                <c:pt idx="14">
                  <c:v>197401.33333333299</c:v>
                </c:pt>
                <c:pt idx="15">
                  <c:v>124448.66666666701</c:v>
                </c:pt>
                <c:pt idx="16">
                  <c:v>261966.933333333</c:v>
                </c:pt>
                <c:pt idx="17">
                  <c:v>165153.066666667</c:v>
                </c:pt>
                <c:pt idx="18">
                  <c:v>255184.69333333301</c:v>
                </c:pt>
                <c:pt idx="19">
                  <c:v>160877.30666666699</c:v>
                </c:pt>
              </c:numCache>
            </c:numRef>
          </c:xVal>
          <c:yVal>
            <c:numRef>
              <c:f>regression!$C$26:$C$45</c:f>
              <c:numCache>
                <c:formatCode>General</c:formatCode>
                <c:ptCount val="20"/>
                <c:pt idx="0">
                  <c:v>175775.58539401647</c:v>
                </c:pt>
                <c:pt idx="1">
                  <c:v>-167881.71509309951</c:v>
                </c:pt>
                <c:pt idx="2">
                  <c:v>-398195.16465452965</c:v>
                </c:pt>
                <c:pt idx="3">
                  <c:v>-878614.05475759599</c:v>
                </c:pt>
                <c:pt idx="4">
                  <c:v>-1039156.6437108191</c:v>
                </c:pt>
                <c:pt idx="5">
                  <c:v>-972808.52111454774</c:v>
                </c:pt>
                <c:pt idx="6">
                  <c:v>-707586.65108979866</c:v>
                </c:pt>
                <c:pt idx="7">
                  <c:v>-1169472.5880813128</c:v>
                </c:pt>
                <c:pt idx="8">
                  <c:v>204453.55945776589</c:v>
                </c:pt>
                <c:pt idx="9">
                  <c:v>-1023438.2871013191</c:v>
                </c:pt>
                <c:pt idx="10">
                  <c:v>-223878.64785756171</c:v>
                </c:pt>
                <c:pt idx="11">
                  <c:v>-1320969.1897226078</c:v>
                </c:pt>
                <c:pt idx="12">
                  <c:v>113487.9878476914</c:v>
                </c:pt>
                <c:pt idx="13">
                  <c:v>-345421.79005892808</c:v>
                </c:pt>
                <c:pt idx="14">
                  <c:v>994058.24701926857</c:v>
                </c:pt>
                <c:pt idx="15">
                  <c:v>206125.00063883746</c:v>
                </c:pt>
                <c:pt idx="16">
                  <c:v>1641898.5061112465</c:v>
                </c:pt>
                <c:pt idx="17">
                  <c:v>601312.20142456703</c:v>
                </c:pt>
                <c:pt idx="18">
                  <c:v>2890857.3689875733</c:v>
                </c:pt>
                <c:pt idx="19">
                  <c:v>1419454.7963611642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F8-4B27-93A4-9AA75A21A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126544"/>
        <c:axId val="872127984"/>
      </c:scatterChart>
      <c:valAx>
        <c:axId val="872126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 Miles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127984"/>
        <c:crosses val="autoZero"/>
        <c:crossBetween val="midCat"/>
      </c:valAx>
      <c:valAx>
        <c:axId val="8721279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126544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Vehicle Hours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Fully Allocated Expenses</c:v>
          </c:tx>
          <c:spPr>
            <a:ln w="38100">
              <a:noFill/>
            </a:ln>
          </c:spPr>
          <c:xVal>
            <c:numRef>
              <c:f>'Route Statistics_D1_D2'!$O$3:$O$22</c:f>
              <c:numCache>
                <c:formatCode>General</c:formatCode>
                <c:ptCount val="20"/>
                <c:pt idx="0">
                  <c:v>32656</c:v>
                </c:pt>
                <c:pt idx="1">
                  <c:v>21771</c:v>
                </c:pt>
                <c:pt idx="2">
                  <c:v>33947</c:v>
                </c:pt>
                <c:pt idx="3">
                  <c:v>22631</c:v>
                </c:pt>
                <c:pt idx="4">
                  <c:v>32313</c:v>
                </c:pt>
                <c:pt idx="5">
                  <c:v>20659</c:v>
                </c:pt>
                <c:pt idx="6">
                  <c:v>28840</c:v>
                </c:pt>
                <c:pt idx="7">
                  <c:v>18438</c:v>
                </c:pt>
                <c:pt idx="8">
                  <c:v>31114</c:v>
                </c:pt>
                <c:pt idx="9">
                  <c:v>23103</c:v>
                </c:pt>
                <c:pt idx="10">
                  <c:v>29948</c:v>
                </c:pt>
                <c:pt idx="11">
                  <c:v>22176</c:v>
                </c:pt>
                <c:pt idx="12">
                  <c:v>26359.226666667</c:v>
                </c:pt>
                <c:pt idx="13">
                  <c:v>16617.773333333</c:v>
                </c:pt>
                <c:pt idx="14">
                  <c:v>21134.853333333002</c:v>
                </c:pt>
                <c:pt idx="15">
                  <c:v>13324.146666667</c:v>
                </c:pt>
                <c:pt idx="16">
                  <c:v>27883.360000000001</c:v>
                </c:pt>
                <c:pt idx="17">
                  <c:v>17578.64</c:v>
                </c:pt>
                <c:pt idx="18">
                  <c:v>27176.799999999999</c:v>
                </c:pt>
                <c:pt idx="19">
                  <c:v>17133.2</c:v>
                </c:pt>
              </c:numCache>
            </c:numRef>
          </c:xVal>
          <c:yVal>
            <c:numRef>
              <c:f>'Route Statistics_D1_D2'!$J$3:$J$22</c:f>
              <c:numCache>
                <c:formatCode>General</c:formatCode>
                <c:ptCount val="20"/>
                <c:pt idx="0">
                  <c:v>7566662.5599999996</c:v>
                </c:pt>
                <c:pt idx="1">
                  <c:v>5171930.53</c:v>
                </c:pt>
                <c:pt idx="2">
                  <c:v>7433698.4113087896</c:v>
                </c:pt>
                <c:pt idx="3">
                  <c:v>4765838.1286912104</c:v>
                </c:pt>
                <c:pt idx="4">
                  <c:v>6472447.1399999997</c:v>
                </c:pt>
                <c:pt idx="5">
                  <c:v>4105489.87</c:v>
                </c:pt>
                <c:pt idx="6">
                  <c:v>6246140.5599999996</c:v>
                </c:pt>
                <c:pt idx="7">
                  <c:v>3525384.82</c:v>
                </c:pt>
                <c:pt idx="8">
                  <c:v>7165869.7982000001</c:v>
                </c:pt>
                <c:pt idx="9">
                  <c:v>4968281.5088999998</c:v>
                </c:pt>
                <c:pt idx="10">
                  <c:v>6569921.7740000002</c:v>
                </c:pt>
                <c:pt idx="11">
                  <c:v>4460307.88</c:v>
                </c:pt>
                <c:pt idx="12">
                  <c:v>6641064.08514133</c:v>
                </c:pt>
                <c:pt idx="13">
                  <c:v>3942666.4884586702</c:v>
                </c:pt>
                <c:pt idx="14">
                  <c:v>6306616.9623043798</c:v>
                </c:pt>
                <c:pt idx="15">
                  <c:v>3728224.06006451</c:v>
                </c:pt>
                <c:pt idx="16">
                  <c:v>8476158.4035844393</c:v>
                </c:pt>
                <c:pt idx="17">
                  <c:v>5082744.6148381699</c:v>
                </c:pt>
                <c:pt idx="18">
                  <c:v>9566164.5190531109</c:v>
                </c:pt>
                <c:pt idx="19">
                  <c:v>5800677.8690177696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17-4BE2-A67B-0B65506E451E}"/>
            </c:ext>
          </c:extLst>
        </c:ser>
        <c:ser>
          <c:idx val="1"/>
          <c:order val="1"/>
          <c:tx>
            <c:v>Predicted Fully Allocated Expenses</c:v>
          </c:tx>
          <c:spPr>
            <a:ln w="38100">
              <a:noFill/>
            </a:ln>
          </c:spPr>
          <c:xVal>
            <c:numRef>
              <c:f>'Route Statistics_D1_D2'!$O$3:$O$22</c:f>
              <c:numCache>
                <c:formatCode>General</c:formatCode>
                <c:ptCount val="20"/>
                <c:pt idx="0">
                  <c:v>32656</c:v>
                </c:pt>
                <c:pt idx="1">
                  <c:v>21771</c:v>
                </c:pt>
                <c:pt idx="2">
                  <c:v>33947</c:v>
                </c:pt>
                <c:pt idx="3">
                  <c:v>22631</c:v>
                </c:pt>
                <c:pt idx="4">
                  <c:v>32313</c:v>
                </c:pt>
                <c:pt idx="5">
                  <c:v>20659</c:v>
                </c:pt>
                <c:pt idx="6">
                  <c:v>28840</c:v>
                </c:pt>
                <c:pt idx="7">
                  <c:v>18438</c:v>
                </c:pt>
                <c:pt idx="8">
                  <c:v>31114</c:v>
                </c:pt>
                <c:pt idx="9">
                  <c:v>23103</c:v>
                </c:pt>
                <c:pt idx="10">
                  <c:v>29948</c:v>
                </c:pt>
                <c:pt idx="11">
                  <c:v>22176</c:v>
                </c:pt>
                <c:pt idx="12">
                  <c:v>26359.226666667</c:v>
                </c:pt>
                <c:pt idx="13">
                  <c:v>16617.773333333</c:v>
                </c:pt>
                <c:pt idx="14">
                  <c:v>21134.853333333002</c:v>
                </c:pt>
                <c:pt idx="15">
                  <c:v>13324.146666667</c:v>
                </c:pt>
                <c:pt idx="16">
                  <c:v>27883.360000000001</c:v>
                </c:pt>
                <c:pt idx="17">
                  <c:v>17578.64</c:v>
                </c:pt>
                <c:pt idx="18">
                  <c:v>27176.799999999999</c:v>
                </c:pt>
                <c:pt idx="19">
                  <c:v>17133.2</c:v>
                </c:pt>
              </c:numCache>
            </c:numRef>
          </c:xVal>
          <c:yVal>
            <c:numRef>
              <c:f>regression!$B$26:$B$45</c:f>
              <c:numCache>
                <c:formatCode>General</c:formatCode>
                <c:ptCount val="20"/>
                <c:pt idx="0">
                  <c:v>7390886.9746059831</c:v>
                </c:pt>
                <c:pt idx="1">
                  <c:v>5339812.2450930998</c:v>
                </c:pt>
                <c:pt idx="2">
                  <c:v>7831893.5759633193</c:v>
                </c:pt>
                <c:pt idx="3">
                  <c:v>5644452.1834488064</c:v>
                </c:pt>
                <c:pt idx="4">
                  <c:v>7511603.7837108187</c:v>
                </c:pt>
                <c:pt idx="5">
                  <c:v>5078298.3911145478</c:v>
                </c:pt>
                <c:pt idx="6">
                  <c:v>6953727.2110897982</c:v>
                </c:pt>
                <c:pt idx="7">
                  <c:v>4694857.4080813127</c:v>
                </c:pt>
                <c:pt idx="8">
                  <c:v>6961416.2387422342</c:v>
                </c:pt>
                <c:pt idx="9">
                  <c:v>5991719.7960013188</c:v>
                </c:pt>
                <c:pt idx="10">
                  <c:v>6793800.4218575619</c:v>
                </c:pt>
                <c:pt idx="11">
                  <c:v>5781277.0697226077</c:v>
                </c:pt>
                <c:pt idx="12">
                  <c:v>6527576.0972936386</c:v>
                </c:pt>
                <c:pt idx="13">
                  <c:v>4288088.2785175983</c:v>
                </c:pt>
                <c:pt idx="14">
                  <c:v>5312558.7152851112</c:v>
                </c:pt>
                <c:pt idx="15">
                  <c:v>3522099.0594256725</c:v>
                </c:pt>
                <c:pt idx="16">
                  <c:v>6834259.8974731928</c:v>
                </c:pt>
                <c:pt idx="17">
                  <c:v>4481432.4134136029</c:v>
                </c:pt>
                <c:pt idx="18">
                  <c:v>6675307.1500655375</c:v>
                </c:pt>
                <c:pt idx="19">
                  <c:v>4381223.0726566054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17-4BE2-A67B-0B65506E4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129424"/>
        <c:axId val="872144304"/>
      </c:scatterChart>
      <c:valAx>
        <c:axId val="872129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 Hours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144304"/>
        <c:crosses val="autoZero"/>
        <c:crossBetween val="midCat"/>
      </c:valAx>
      <c:valAx>
        <c:axId val="8721443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Fully Allocated Expenses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1294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Vehicle Miles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Fully Allocated Expenses</c:v>
          </c:tx>
          <c:spPr>
            <a:ln w="38100">
              <a:noFill/>
            </a:ln>
          </c:spPr>
          <c:xVal>
            <c:numRef>
              <c:f>'Route Statistics_D1_D2'!$P$3:$P$22</c:f>
              <c:numCache>
                <c:formatCode>General</c:formatCode>
                <c:ptCount val="20"/>
                <c:pt idx="0">
                  <c:v>339168</c:v>
                </c:pt>
                <c:pt idx="1">
                  <c:v>210541</c:v>
                </c:pt>
                <c:pt idx="2">
                  <c:v>342419.48761788802</c:v>
                </c:pt>
                <c:pt idx="3">
                  <c:v>212047.51238211201</c:v>
                </c:pt>
                <c:pt idx="4">
                  <c:v>323863</c:v>
                </c:pt>
                <c:pt idx="5">
                  <c:v>200556</c:v>
                </c:pt>
                <c:pt idx="6">
                  <c:v>276962</c:v>
                </c:pt>
                <c:pt idx="7">
                  <c:v>172182</c:v>
                </c:pt>
                <c:pt idx="8">
                  <c:v>329379</c:v>
                </c:pt>
                <c:pt idx="9">
                  <c:v>201943</c:v>
                </c:pt>
                <c:pt idx="10">
                  <c:v>312438</c:v>
                </c:pt>
                <c:pt idx="11">
                  <c:v>193160</c:v>
                </c:pt>
                <c:pt idx="12">
                  <c:v>245139.52</c:v>
                </c:pt>
                <c:pt idx="13">
                  <c:v>154544.48000000001</c:v>
                </c:pt>
                <c:pt idx="14">
                  <c:v>197401.33333333299</c:v>
                </c:pt>
                <c:pt idx="15">
                  <c:v>124448.66666666701</c:v>
                </c:pt>
                <c:pt idx="16">
                  <c:v>261966.933333333</c:v>
                </c:pt>
                <c:pt idx="17">
                  <c:v>165153.066666667</c:v>
                </c:pt>
                <c:pt idx="18">
                  <c:v>255184.69333333301</c:v>
                </c:pt>
                <c:pt idx="19">
                  <c:v>160877.30666666699</c:v>
                </c:pt>
              </c:numCache>
            </c:numRef>
          </c:xVal>
          <c:yVal>
            <c:numRef>
              <c:f>'Route Statistics_D1_D2'!$J$3:$J$22</c:f>
              <c:numCache>
                <c:formatCode>General</c:formatCode>
                <c:ptCount val="20"/>
                <c:pt idx="0">
                  <c:v>7566662.5599999996</c:v>
                </c:pt>
                <c:pt idx="1">
                  <c:v>5171930.53</c:v>
                </c:pt>
                <c:pt idx="2">
                  <c:v>7433698.4113087896</c:v>
                </c:pt>
                <c:pt idx="3">
                  <c:v>4765838.1286912104</c:v>
                </c:pt>
                <c:pt idx="4">
                  <c:v>6472447.1399999997</c:v>
                </c:pt>
                <c:pt idx="5">
                  <c:v>4105489.87</c:v>
                </c:pt>
                <c:pt idx="6">
                  <c:v>6246140.5599999996</c:v>
                </c:pt>
                <c:pt idx="7">
                  <c:v>3525384.82</c:v>
                </c:pt>
                <c:pt idx="8">
                  <c:v>7165869.7982000001</c:v>
                </c:pt>
                <c:pt idx="9">
                  <c:v>4968281.5088999998</c:v>
                </c:pt>
                <c:pt idx="10">
                  <c:v>6569921.7740000002</c:v>
                </c:pt>
                <c:pt idx="11">
                  <c:v>4460307.88</c:v>
                </c:pt>
                <c:pt idx="12">
                  <c:v>6641064.08514133</c:v>
                </c:pt>
                <c:pt idx="13">
                  <c:v>3942666.4884586702</c:v>
                </c:pt>
                <c:pt idx="14">
                  <c:v>6306616.9623043798</c:v>
                </c:pt>
                <c:pt idx="15">
                  <c:v>3728224.06006451</c:v>
                </c:pt>
                <c:pt idx="16">
                  <c:v>8476158.4035844393</c:v>
                </c:pt>
                <c:pt idx="17">
                  <c:v>5082744.6148381699</c:v>
                </c:pt>
                <c:pt idx="18">
                  <c:v>9566164.5190531109</c:v>
                </c:pt>
                <c:pt idx="19">
                  <c:v>5800677.8690177696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6BD-4308-8DE1-97C73D59B4EE}"/>
            </c:ext>
          </c:extLst>
        </c:ser>
        <c:ser>
          <c:idx val="1"/>
          <c:order val="1"/>
          <c:tx>
            <c:v>Predicted Fully Allocated Expenses</c:v>
          </c:tx>
          <c:spPr>
            <a:ln w="38100">
              <a:noFill/>
            </a:ln>
          </c:spPr>
          <c:xVal>
            <c:numRef>
              <c:f>'Route Statistics_D1_D2'!$P$3:$P$22</c:f>
              <c:numCache>
                <c:formatCode>General</c:formatCode>
                <c:ptCount val="20"/>
                <c:pt idx="0">
                  <c:v>339168</c:v>
                </c:pt>
                <c:pt idx="1">
                  <c:v>210541</c:v>
                </c:pt>
                <c:pt idx="2">
                  <c:v>342419.48761788802</c:v>
                </c:pt>
                <c:pt idx="3">
                  <c:v>212047.51238211201</c:v>
                </c:pt>
                <c:pt idx="4">
                  <c:v>323863</c:v>
                </c:pt>
                <c:pt idx="5">
                  <c:v>200556</c:v>
                </c:pt>
                <c:pt idx="6">
                  <c:v>276962</c:v>
                </c:pt>
                <c:pt idx="7">
                  <c:v>172182</c:v>
                </c:pt>
                <c:pt idx="8">
                  <c:v>329379</c:v>
                </c:pt>
                <c:pt idx="9">
                  <c:v>201943</c:v>
                </c:pt>
                <c:pt idx="10">
                  <c:v>312438</c:v>
                </c:pt>
                <c:pt idx="11">
                  <c:v>193160</c:v>
                </c:pt>
                <c:pt idx="12">
                  <c:v>245139.52</c:v>
                </c:pt>
                <c:pt idx="13">
                  <c:v>154544.48000000001</c:v>
                </c:pt>
                <c:pt idx="14">
                  <c:v>197401.33333333299</c:v>
                </c:pt>
                <c:pt idx="15">
                  <c:v>124448.66666666701</c:v>
                </c:pt>
                <c:pt idx="16">
                  <c:v>261966.933333333</c:v>
                </c:pt>
                <c:pt idx="17">
                  <c:v>165153.066666667</c:v>
                </c:pt>
                <c:pt idx="18">
                  <c:v>255184.69333333301</c:v>
                </c:pt>
                <c:pt idx="19">
                  <c:v>160877.30666666699</c:v>
                </c:pt>
              </c:numCache>
            </c:numRef>
          </c:xVal>
          <c:yVal>
            <c:numRef>
              <c:f>regression!$B$26:$B$45</c:f>
              <c:numCache>
                <c:formatCode>General</c:formatCode>
                <c:ptCount val="20"/>
                <c:pt idx="0">
                  <c:v>7390886.9746059831</c:v>
                </c:pt>
                <c:pt idx="1">
                  <c:v>5339812.2450930998</c:v>
                </c:pt>
                <c:pt idx="2">
                  <c:v>7831893.5759633193</c:v>
                </c:pt>
                <c:pt idx="3">
                  <c:v>5644452.1834488064</c:v>
                </c:pt>
                <c:pt idx="4">
                  <c:v>7511603.7837108187</c:v>
                </c:pt>
                <c:pt idx="5">
                  <c:v>5078298.3911145478</c:v>
                </c:pt>
                <c:pt idx="6">
                  <c:v>6953727.2110897982</c:v>
                </c:pt>
                <c:pt idx="7">
                  <c:v>4694857.4080813127</c:v>
                </c:pt>
                <c:pt idx="8">
                  <c:v>6961416.2387422342</c:v>
                </c:pt>
                <c:pt idx="9">
                  <c:v>5991719.7960013188</c:v>
                </c:pt>
                <c:pt idx="10">
                  <c:v>6793800.4218575619</c:v>
                </c:pt>
                <c:pt idx="11">
                  <c:v>5781277.0697226077</c:v>
                </c:pt>
                <c:pt idx="12">
                  <c:v>6527576.0972936386</c:v>
                </c:pt>
                <c:pt idx="13">
                  <c:v>4288088.2785175983</c:v>
                </c:pt>
                <c:pt idx="14">
                  <c:v>5312558.7152851112</c:v>
                </c:pt>
                <c:pt idx="15">
                  <c:v>3522099.0594256725</c:v>
                </c:pt>
                <c:pt idx="16">
                  <c:v>6834259.8974731928</c:v>
                </c:pt>
                <c:pt idx="17">
                  <c:v>4481432.4134136029</c:v>
                </c:pt>
                <c:pt idx="18">
                  <c:v>6675307.1500655375</c:v>
                </c:pt>
                <c:pt idx="19">
                  <c:v>4381223.0726566054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6BD-4308-8DE1-97C73D59B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2147184"/>
        <c:axId val="872147664"/>
      </c:scatterChart>
      <c:valAx>
        <c:axId val="8721471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Vehicle Miles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147664"/>
        <c:crosses val="autoZero"/>
        <c:crossBetween val="midCat"/>
      </c:valAx>
      <c:valAx>
        <c:axId val="8721476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Fully Allocated Expenses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721471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regression!$F$26:$F$45</c:f>
              <c:numCache>
                <c:formatCode>General</c:formatCode>
                <c:ptCount val="20"/>
                <c:pt idx="0">
                  <c:v>2.5</c:v>
                </c:pt>
                <c:pt idx="1">
                  <c:v>7.5</c:v>
                </c:pt>
                <c:pt idx="2">
                  <c:v>12.5</c:v>
                </c:pt>
                <c:pt idx="3">
                  <c:v>17.5</c:v>
                </c:pt>
                <c:pt idx="4">
                  <c:v>22.5</c:v>
                </c:pt>
                <c:pt idx="5">
                  <c:v>27.5</c:v>
                </c:pt>
                <c:pt idx="6">
                  <c:v>32.5</c:v>
                </c:pt>
                <c:pt idx="7">
                  <c:v>37.5</c:v>
                </c:pt>
                <c:pt idx="8">
                  <c:v>42.5</c:v>
                </c:pt>
                <c:pt idx="9">
                  <c:v>47.5</c:v>
                </c:pt>
                <c:pt idx="10">
                  <c:v>52.5</c:v>
                </c:pt>
                <c:pt idx="11">
                  <c:v>57.5</c:v>
                </c:pt>
                <c:pt idx="12">
                  <c:v>62.5</c:v>
                </c:pt>
                <c:pt idx="13">
                  <c:v>67.5</c:v>
                </c:pt>
                <c:pt idx="14">
                  <c:v>72.5</c:v>
                </c:pt>
                <c:pt idx="15">
                  <c:v>77.5</c:v>
                </c:pt>
                <c:pt idx="16">
                  <c:v>82.5</c:v>
                </c:pt>
                <c:pt idx="17">
                  <c:v>87.5</c:v>
                </c:pt>
                <c:pt idx="18">
                  <c:v>92.5</c:v>
                </c:pt>
                <c:pt idx="19">
                  <c:v>97.5</c:v>
                </c:pt>
              </c:numCache>
            </c:numRef>
          </c:xVal>
          <c:yVal>
            <c:numRef>
              <c:f>regression!$G$26:$G$45</c:f>
              <c:numCache>
                <c:formatCode>General</c:formatCode>
                <c:ptCount val="20"/>
                <c:pt idx="0">
                  <c:v>3525384.82</c:v>
                </c:pt>
                <c:pt idx="1">
                  <c:v>3728224.06006451</c:v>
                </c:pt>
                <c:pt idx="2">
                  <c:v>3942666.4884586702</c:v>
                </c:pt>
                <c:pt idx="3">
                  <c:v>4105489.87</c:v>
                </c:pt>
                <c:pt idx="4">
                  <c:v>4460307.88</c:v>
                </c:pt>
                <c:pt idx="5">
                  <c:v>4765838.1286912104</c:v>
                </c:pt>
                <c:pt idx="6">
                  <c:v>4968281.5088999998</c:v>
                </c:pt>
                <c:pt idx="7">
                  <c:v>5082744.6148381699</c:v>
                </c:pt>
                <c:pt idx="8">
                  <c:v>5171930.53</c:v>
                </c:pt>
                <c:pt idx="9">
                  <c:v>5800677.8690177696</c:v>
                </c:pt>
                <c:pt idx="10">
                  <c:v>6246140.5599999996</c:v>
                </c:pt>
                <c:pt idx="11">
                  <c:v>6306616.9623043798</c:v>
                </c:pt>
                <c:pt idx="12">
                  <c:v>6472447.1399999997</c:v>
                </c:pt>
                <c:pt idx="13">
                  <c:v>6569921.7740000002</c:v>
                </c:pt>
                <c:pt idx="14">
                  <c:v>6641064.08514133</c:v>
                </c:pt>
                <c:pt idx="15">
                  <c:v>7165869.7982000001</c:v>
                </c:pt>
                <c:pt idx="16">
                  <c:v>7433698.4113087896</c:v>
                </c:pt>
                <c:pt idx="17">
                  <c:v>7566662.5599999996</c:v>
                </c:pt>
                <c:pt idx="18">
                  <c:v>8476158.4035844393</c:v>
                </c:pt>
                <c:pt idx="19">
                  <c:v>9566164.5190531109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7-4C96-A1E3-5D974F388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143488"/>
        <c:axId val="633139648"/>
      </c:scatterChart>
      <c:valAx>
        <c:axId val="633143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3139648"/>
        <c:crosses val="autoZero"/>
        <c:crossBetween val="midCat"/>
      </c:valAx>
      <c:valAx>
        <c:axId val="633139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Fully Allocated Expenses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33143488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'Route Statistics_D1_D2'!$O$2</c:f>
              <c:strCache>
                <c:ptCount val="1"/>
                <c:pt idx="0">
                  <c:v>Vehicle Hours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'Route Statistics_D1_D2'!$O$3:$O$22</c:f>
              <c:numCache>
                <c:formatCode>General</c:formatCode>
                <c:ptCount val="20"/>
                <c:pt idx="0">
                  <c:v>32656</c:v>
                </c:pt>
                <c:pt idx="1">
                  <c:v>21771</c:v>
                </c:pt>
                <c:pt idx="2">
                  <c:v>33947</c:v>
                </c:pt>
                <c:pt idx="3">
                  <c:v>22631</c:v>
                </c:pt>
                <c:pt idx="4">
                  <c:v>32313</c:v>
                </c:pt>
                <c:pt idx="5">
                  <c:v>20659</c:v>
                </c:pt>
                <c:pt idx="6">
                  <c:v>28840</c:v>
                </c:pt>
                <c:pt idx="7">
                  <c:v>18438</c:v>
                </c:pt>
                <c:pt idx="8">
                  <c:v>31114</c:v>
                </c:pt>
                <c:pt idx="9">
                  <c:v>23103</c:v>
                </c:pt>
                <c:pt idx="10">
                  <c:v>29948</c:v>
                </c:pt>
                <c:pt idx="11">
                  <c:v>22176</c:v>
                </c:pt>
                <c:pt idx="12">
                  <c:v>26359.226666667</c:v>
                </c:pt>
                <c:pt idx="13">
                  <c:v>16617.773333333</c:v>
                </c:pt>
                <c:pt idx="14">
                  <c:v>21134.853333333002</c:v>
                </c:pt>
                <c:pt idx="15">
                  <c:v>13324.146666667</c:v>
                </c:pt>
                <c:pt idx="16">
                  <c:v>27883.360000000001</c:v>
                </c:pt>
                <c:pt idx="17">
                  <c:v>17578.64</c:v>
                </c:pt>
                <c:pt idx="18">
                  <c:v>27176.799999999999</c:v>
                </c:pt>
                <c:pt idx="19">
                  <c:v>17133.2</c:v>
                </c:pt>
              </c:numCache>
            </c:numRef>
          </c:xVal>
          <c:yVal>
            <c:numRef>
              <c:f>'Route Statistics_D1_D2'!$J$3:$J$22</c:f>
              <c:numCache>
                <c:formatCode>General</c:formatCode>
                <c:ptCount val="20"/>
                <c:pt idx="0">
                  <c:v>7566662.5599999996</c:v>
                </c:pt>
                <c:pt idx="1">
                  <c:v>5171930.53</c:v>
                </c:pt>
                <c:pt idx="2">
                  <c:v>7433698.4113087896</c:v>
                </c:pt>
                <c:pt idx="3">
                  <c:v>4765838.1286912104</c:v>
                </c:pt>
                <c:pt idx="4">
                  <c:v>6472447.1399999997</c:v>
                </c:pt>
                <c:pt idx="5">
                  <c:v>4105489.87</c:v>
                </c:pt>
                <c:pt idx="6">
                  <c:v>6246140.5599999996</c:v>
                </c:pt>
                <c:pt idx="7">
                  <c:v>3525384.82</c:v>
                </c:pt>
                <c:pt idx="8">
                  <c:v>7165869.7982000001</c:v>
                </c:pt>
                <c:pt idx="9">
                  <c:v>4968281.5088999998</c:v>
                </c:pt>
                <c:pt idx="10">
                  <c:v>6569921.7740000002</c:v>
                </c:pt>
                <c:pt idx="11">
                  <c:v>4460307.88</c:v>
                </c:pt>
                <c:pt idx="12">
                  <c:v>6641064.08514133</c:v>
                </c:pt>
                <c:pt idx="13">
                  <c:v>3942666.4884586702</c:v>
                </c:pt>
                <c:pt idx="14">
                  <c:v>6306616.9623043798</c:v>
                </c:pt>
                <c:pt idx="15">
                  <c:v>3728224.06006451</c:v>
                </c:pt>
                <c:pt idx="16">
                  <c:v>8476158.4035844393</c:v>
                </c:pt>
                <c:pt idx="17">
                  <c:v>5082744.6148381699</c:v>
                </c:pt>
                <c:pt idx="18">
                  <c:v>9566164.5190531109</c:v>
                </c:pt>
                <c:pt idx="19">
                  <c:v>5800677.8690177696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A8-4873-8E6D-9A42AF70A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67040"/>
        <c:axId val="53945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'Route Statistics_D1_D2'!$P$2</c15:sqref>
                        </c15:formulaRef>
                      </c:ext>
                    </c:extLst>
                    <c:strCache>
                      <c:ptCount val="1"/>
                      <c:pt idx="0">
                        <c:v>Vehicle Miles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'Route Statistics_D1_D2'!$P$3:$P$22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339168</c:v>
                      </c:pt>
                      <c:pt idx="1">
                        <c:v>210541</c:v>
                      </c:pt>
                      <c:pt idx="2">
                        <c:v>342419.48761788802</c:v>
                      </c:pt>
                      <c:pt idx="3">
                        <c:v>212047.51238211201</c:v>
                      </c:pt>
                      <c:pt idx="4">
                        <c:v>323863</c:v>
                      </c:pt>
                      <c:pt idx="5">
                        <c:v>200556</c:v>
                      </c:pt>
                      <c:pt idx="6">
                        <c:v>276962</c:v>
                      </c:pt>
                      <c:pt idx="7">
                        <c:v>172182</c:v>
                      </c:pt>
                      <c:pt idx="8">
                        <c:v>329379</c:v>
                      </c:pt>
                      <c:pt idx="9">
                        <c:v>201943</c:v>
                      </c:pt>
                      <c:pt idx="10">
                        <c:v>312438</c:v>
                      </c:pt>
                      <c:pt idx="11">
                        <c:v>193160</c:v>
                      </c:pt>
                      <c:pt idx="12">
                        <c:v>245139.52</c:v>
                      </c:pt>
                      <c:pt idx="13">
                        <c:v>154544.48000000001</c:v>
                      </c:pt>
                      <c:pt idx="14">
                        <c:v>197401.33333333299</c:v>
                      </c:pt>
                      <c:pt idx="15">
                        <c:v>124448.66666666701</c:v>
                      </c:pt>
                      <c:pt idx="16">
                        <c:v>261966.933333333</c:v>
                      </c:pt>
                      <c:pt idx="17">
                        <c:v>165153.066666667</c:v>
                      </c:pt>
                      <c:pt idx="18">
                        <c:v>255184.69333333301</c:v>
                      </c:pt>
                      <c:pt idx="19">
                        <c:v>160877.30666666699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'Route Statistics_D1_D2'!$J$3:$J$22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7566662.5599999996</c:v>
                      </c:pt>
                      <c:pt idx="1">
                        <c:v>5171930.53</c:v>
                      </c:pt>
                      <c:pt idx="2">
                        <c:v>7433698.4113087896</c:v>
                      </c:pt>
                      <c:pt idx="3">
                        <c:v>4765838.1286912104</c:v>
                      </c:pt>
                      <c:pt idx="4">
                        <c:v>6472447.1399999997</c:v>
                      </c:pt>
                      <c:pt idx="5">
                        <c:v>4105489.87</c:v>
                      </c:pt>
                      <c:pt idx="6">
                        <c:v>6246140.5599999996</c:v>
                      </c:pt>
                      <c:pt idx="7">
                        <c:v>3525384.82</c:v>
                      </c:pt>
                      <c:pt idx="8">
                        <c:v>7165869.7982000001</c:v>
                      </c:pt>
                      <c:pt idx="9">
                        <c:v>4968281.5088999998</c:v>
                      </c:pt>
                      <c:pt idx="10">
                        <c:v>6569921.7740000002</c:v>
                      </c:pt>
                      <c:pt idx="11">
                        <c:v>4460307.88</c:v>
                      </c:pt>
                      <c:pt idx="12">
                        <c:v>6641064.08514133</c:v>
                      </c:pt>
                      <c:pt idx="13">
                        <c:v>3942666.4884586702</c:v>
                      </c:pt>
                      <c:pt idx="14">
                        <c:v>6306616.9623043798</c:v>
                      </c:pt>
                      <c:pt idx="15">
                        <c:v>3728224.06006451</c:v>
                      </c:pt>
                      <c:pt idx="16">
                        <c:v>8476158.4035844393</c:v>
                      </c:pt>
                      <c:pt idx="17">
                        <c:v>5082744.6148381699</c:v>
                      </c:pt>
                      <c:pt idx="18">
                        <c:v>9566164.5190531109</c:v>
                      </c:pt>
                      <c:pt idx="19">
                        <c:v>5800677.8690177696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6CA8-4873-8E6D-9A42AF70A014}"/>
                  </c:ext>
                </c:extLst>
              </c15:ser>
            </c15:filteredScatterSeries>
          </c:ext>
        </c:extLst>
      </c:scatterChart>
      <c:valAx>
        <c:axId val="53946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52160"/>
        <c:crosses val="autoZero"/>
        <c:crossBetween val="midCat"/>
      </c:valAx>
      <c:valAx>
        <c:axId val="5394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6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'Route Statistics_D1_D2'!$P$2</c:f>
              <c:strCache>
                <c:ptCount val="1"/>
                <c:pt idx="0">
                  <c:v>Vehicle Miles</c:v>
                </c:pt>
              </c:strCache>
              <c:extLst xmlns:c15="http://schemas.microsoft.com/office/drawing/2012/chart"/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'Route Statistics_D1_D2'!$P$3:$P$22</c:f>
              <c:numCache>
                <c:formatCode>General</c:formatCode>
                <c:ptCount val="20"/>
                <c:pt idx="0">
                  <c:v>339168</c:v>
                </c:pt>
                <c:pt idx="1">
                  <c:v>210541</c:v>
                </c:pt>
                <c:pt idx="2">
                  <c:v>342419.48761788802</c:v>
                </c:pt>
                <c:pt idx="3">
                  <c:v>212047.51238211201</c:v>
                </c:pt>
                <c:pt idx="4">
                  <c:v>323863</c:v>
                </c:pt>
                <c:pt idx="5">
                  <c:v>200556</c:v>
                </c:pt>
                <c:pt idx="6">
                  <c:v>276962</c:v>
                </c:pt>
                <c:pt idx="7">
                  <c:v>172182</c:v>
                </c:pt>
                <c:pt idx="8">
                  <c:v>329379</c:v>
                </c:pt>
                <c:pt idx="9">
                  <c:v>201943</c:v>
                </c:pt>
                <c:pt idx="10">
                  <c:v>312438</c:v>
                </c:pt>
                <c:pt idx="11">
                  <c:v>193160</c:v>
                </c:pt>
                <c:pt idx="12">
                  <c:v>245139.52</c:v>
                </c:pt>
                <c:pt idx="13">
                  <c:v>154544.48000000001</c:v>
                </c:pt>
                <c:pt idx="14">
                  <c:v>197401.33333333299</c:v>
                </c:pt>
                <c:pt idx="15">
                  <c:v>124448.66666666701</c:v>
                </c:pt>
                <c:pt idx="16">
                  <c:v>261966.933333333</c:v>
                </c:pt>
                <c:pt idx="17">
                  <c:v>165153.066666667</c:v>
                </c:pt>
                <c:pt idx="18">
                  <c:v>255184.69333333301</c:v>
                </c:pt>
                <c:pt idx="19">
                  <c:v>160877.30666666699</c:v>
                </c:pt>
              </c:numCache>
              <c:extLst xmlns:c15="http://schemas.microsoft.com/office/drawing/2012/chart"/>
            </c:numRef>
          </c:xVal>
          <c:yVal>
            <c:numRef>
              <c:f>'Route Statistics_D1_D2'!$J$3:$J$22</c:f>
              <c:numCache>
                <c:formatCode>General</c:formatCode>
                <c:ptCount val="20"/>
                <c:pt idx="0">
                  <c:v>7566662.5599999996</c:v>
                </c:pt>
                <c:pt idx="1">
                  <c:v>5171930.53</c:v>
                </c:pt>
                <c:pt idx="2">
                  <c:v>7433698.4113087896</c:v>
                </c:pt>
                <c:pt idx="3">
                  <c:v>4765838.1286912104</c:v>
                </c:pt>
                <c:pt idx="4">
                  <c:v>6472447.1399999997</c:v>
                </c:pt>
                <c:pt idx="5">
                  <c:v>4105489.87</c:v>
                </c:pt>
                <c:pt idx="6">
                  <c:v>6246140.5599999996</c:v>
                </c:pt>
                <c:pt idx="7">
                  <c:v>3525384.82</c:v>
                </c:pt>
                <c:pt idx="8">
                  <c:v>7165869.7982000001</c:v>
                </c:pt>
                <c:pt idx="9">
                  <c:v>4968281.5088999998</c:v>
                </c:pt>
                <c:pt idx="10">
                  <c:v>6569921.7740000002</c:v>
                </c:pt>
                <c:pt idx="11">
                  <c:v>4460307.88</c:v>
                </c:pt>
                <c:pt idx="12">
                  <c:v>6641064.08514133</c:v>
                </c:pt>
                <c:pt idx="13">
                  <c:v>3942666.4884586702</c:v>
                </c:pt>
                <c:pt idx="14">
                  <c:v>6306616.9623043798</c:v>
                </c:pt>
                <c:pt idx="15">
                  <c:v>3728224.06006451</c:v>
                </c:pt>
                <c:pt idx="16">
                  <c:v>8476158.4035844393</c:v>
                </c:pt>
                <c:pt idx="17">
                  <c:v>5082744.6148381699</c:v>
                </c:pt>
                <c:pt idx="18">
                  <c:v>9566164.5190531109</c:v>
                </c:pt>
                <c:pt idx="19">
                  <c:v>5800677.8690177696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1-62B7-45E7-8FD4-0746A5016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467040"/>
        <c:axId val="5394521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'Route Statistics_D1_D2'!$O$2</c15:sqref>
                        </c15:formulaRef>
                      </c:ext>
                    </c:extLst>
                    <c:strCache>
                      <c:ptCount val="1"/>
                      <c:pt idx="0">
                        <c:v>Vehicle Hours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'Route Statistics_D1_D2'!$O$3:$O$22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32656</c:v>
                      </c:pt>
                      <c:pt idx="1">
                        <c:v>21771</c:v>
                      </c:pt>
                      <c:pt idx="2">
                        <c:v>33947</c:v>
                      </c:pt>
                      <c:pt idx="3">
                        <c:v>22631</c:v>
                      </c:pt>
                      <c:pt idx="4">
                        <c:v>32313</c:v>
                      </c:pt>
                      <c:pt idx="5">
                        <c:v>20659</c:v>
                      </c:pt>
                      <c:pt idx="6">
                        <c:v>28840</c:v>
                      </c:pt>
                      <c:pt idx="7">
                        <c:v>18438</c:v>
                      </c:pt>
                      <c:pt idx="8">
                        <c:v>31114</c:v>
                      </c:pt>
                      <c:pt idx="9">
                        <c:v>23103</c:v>
                      </c:pt>
                      <c:pt idx="10">
                        <c:v>29948</c:v>
                      </c:pt>
                      <c:pt idx="11">
                        <c:v>22176</c:v>
                      </c:pt>
                      <c:pt idx="12">
                        <c:v>26359.226666667</c:v>
                      </c:pt>
                      <c:pt idx="13">
                        <c:v>16617.773333333</c:v>
                      </c:pt>
                      <c:pt idx="14">
                        <c:v>21134.853333333002</c:v>
                      </c:pt>
                      <c:pt idx="15">
                        <c:v>13324.146666667</c:v>
                      </c:pt>
                      <c:pt idx="16">
                        <c:v>27883.360000000001</c:v>
                      </c:pt>
                      <c:pt idx="17">
                        <c:v>17578.64</c:v>
                      </c:pt>
                      <c:pt idx="18">
                        <c:v>27176.799999999999</c:v>
                      </c:pt>
                      <c:pt idx="19">
                        <c:v>17133.2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'Route Statistics_D1_D2'!$J$3:$J$22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7566662.5599999996</c:v>
                      </c:pt>
                      <c:pt idx="1">
                        <c:v>5171930.53</c:v>
                      </c:pt>
                      <c:pt idx="2">
                        <c:v>7433698.4113087896</c:v>
                      </c:pt>
                      <c:pt idx="3">
                        <c:v>4765838.1286912104</c:v>
                      </c:pt>
                      <c:pt idx="4">
                        <c:v>6472447.1399999997</c:v>
                      </c:pt>
                      <c:pt idx="5">
                        <c:v>4105489.87</c:v>
                      </c:pt>
                      <c:pt idx="6">
                        <c:v>6246140.5599999996</c:v>
                      </c:pt>
                      <c:pt idx="7">
                        <c:v>3525384.82</c:v>
                      </c:pt>
                      <c:pt idx="8">
                        <c:v>7165869.7982000001</c:v>
                      </c:pt>
                      <c:pt idx="9">
                        <c:v>4968281.5088999998</c:v>
                      </c:pt>
                      <c:pt idx="10">
                        <c:v>6569921.7740000002</c:v>
                      </c:pt>
                      <c:pt idx="11">
                        <c:v>4460307.88</c:v>
                      </c:pt>
                      <c:pt idx="12">
                        <c:v>6641064.08514133</c:v>
                      </c:pt>
                      <c:pt idx="13">
                        <c:v>3942666.4884586702</c:v>
                      </c:pt>
                      <c:pt idx="14">
                        <c:v>6306616.9623043798</c:v>
                      </c:pt>
                      <c:pt idx="15">
                        <c:v>3728224.06006451</c:v>
                      </c:pt>
                      <c:pt idx="16">
                        <c:v>8476158.4035844393</c:v>
                      </c:pt>
                      <c:pt idx="17">
                        <c:v>5082744.6148381699</c:v>
                      </c:pt>
                      <c:pt idx="18">
                        <c:v>9566164.5190531109</c:v>
                      </c:pt>
                      <c:pt idx="19">
                        <c:v>5800677.8690177696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62B7-45E7-8FD4-0746A5016ECA}"/>
                  </c:ext>
                </c:extLst>
              </c15:ser>
            </c15:filteredScatterSeries>
          </c:ext>
        </c:extLst>
      </c:scatterChart>
      <c:valAx>
        <c:axId val="53946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52160"/>
        <c:crosses val="autoZero"/>
        <c:crossBetween val="midCat"/>
      </c:valAx>
      <c:valAx>
        <c:axId val="53945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6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247649</xdr:colOff>
      <xdr:row>0</xdr:row>
      <xdr:rowOff>177800</xdr:rowOff>
    </xdr:from>
    <xdr:to>
      <xdr:col>20</xdr:col>
      <xdr:colOff>158186</xdr:colOff>
      <xdr:row>19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A37421-F3D1-EF33-DA37-A8A1A2348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304800</xdr:colOff>
      <xdr:row>19</xdr:row>
      <xdr:rowOff>133350</xdr:rowOff>
    </xdr:from>
    <xdr:to>
      <xdr:col>21</xdr:col>
      <xdr:colOff>417534</xdr:colOff>
      <xdr:row>40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8236E0-6F69-FD86-A4CF-26961574E6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539749</xdr:colOff>
      <xdr:row>33</xdr:row>
      <xdr:rowOff>57150</xdr:rowOff>
    </xdr:from>
    <xdr:to>
      <xdr:col>25</xdr:col>
      <xdr:colOff>377466</xdr:colOff>
      <xdr:row>53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C178D11-A598-B0C0-7D8A-AF1F0B0C8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463550</xdr:colOff>
      <xdr:row>8</xdr:row>
      <xdr:rowOff>120650</xdr:rowOff>
    </xdr:from>
    <xdr:to>
      <xdr:col>27</xdr:col>
      <xdr:colOff>488432</xdr:colOff>
      <xdr:row>28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FA565D7-06B5-834B-19D4-1E49C48B9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603250</xdr:colOff>
      <xdr:row>22</xdr:row>
      <xdr:rowOff>127000</xdr:rowOff>
    </xdr:from>
    <xdr:to>
      <xdr:col>22</xdr:col>
      <xdr:colOff>603250</xdr:colOff>
      <xdr:row>32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B87EB1-468B-9FC1-842F-2F7301DCA8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196849</xdr:colOff>
      <xdr:row>3</xdr:row>
      <xdr:rowOff>107950</xdr:rowOff>
    </xdr:from>
    <xdr:to>
      <xdr:col>25</xdr:col>
      <xdr:colOff>219074</xdr:colOff>
      <xdr:row>21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DDF6F-B80E-88ED-7AB1-47BB88AF9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355600</xdr:colOff>
      <xdr:row>3</xdr:row>
      <xdr:rowOff>152400</xdr:rowOff>
    </xdr:from>
    <xdr:to>
      <xdr:col>34</xdr:col>
      <xdr:colOff>377825</xdr:colOff>
      <xdr:row>21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E0DD87-B497-4893-B242-44A771320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public.tableau.com/app/profile/septa.data.group/viz/RouteOperatingStatistics/SystemPerformanceByRou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1FE1-9EBC-4735-9981-091C18CDDDE0}">
  <dimension ref="A1:I45"/>
  <sheetViews>
    <sheetView topLeftCell="A12" workbookViewId="0">
      <selection activeCell="G18" sqref="G18"/>
    </sheetView>
  </sheetViews>
  <sheetFormatPr defaultRowHeight="14.5" x14ac:dyDescent="0.35"/>
  <cols>
    <col min="1" max="1" width="17.453125" customWidth="1"/>
  </cols>
  <sheetData>
    <row r="1" spans="1:9" x14ac:dyDescent="0.35">
      <c r="A1" t="s">
        <v>21</v>
      </c>
    </row>
    <row r="2" spans="1:9" ht="15" thickBot="1" x14ac:dyDescent="0.4"/>
    <row r="3" spans="1:9" x14ac:dyDescent="0.35">
      <c r="A3" s="6" t="s">
        <v>22</v>
      </c>
      <c r="B3" s="6"/>
    </row>
    <row r="4" spans="1:9" x14ac:dyDescent="0.35">
      <c r="A4" s="3" t="s">
        <v>23</v>
      </c>
      <c r="B4" s="3">
        <v>0.75086687838905608</v>
      </c>
    </row>
    <row r="5" spans="1:9" x14ac:dyDescent="0.35">
      <c r="A5" s="3" t="s">
        <v>24</v>
      </c>
      <c r="B5" s="3">
        <v>0.56380106906172556</v>
      </c>
    </row>
    <row r="6" spans="1:9" x14ac:dyDescent="0.35">
      <c r="A6" s="3" t="s">
        <v>25</v>
      </c>
      <c r="B6" s="3">
        <v>0.51248354777486971</v>
      </c>
    </row>
    <row r="7" spans="1:9" x14ac:dyDescent="0.35">
      <c r="A7" s="3" t="s">
        <v>26</v>
      </c>
      <c r="B7" s="3">
        <v>1146878.3751398139</v>
      </c>
    </row>
    <row r="8" spans="1:9" ht="15" thickBot="1" x14ac:dyDescent="0.4">
      <c r="A8" s="4" t="s">
        <v>27</v>
      </c>
      <c r="B8" s="4">
        <v>20</v>
      </c>
    </row>
    <row r="10" spans="1:9" ht="15" thickBot="1" x14ac:dyDescent="0.4">
      <c r="A10" t="s">
        <v>28</v>
      </c>
    </row>
    <row r="11" spans="1:9" x14ac:dyDescent="0.35">
      <c r="A11" s="5"/>
      <c r="B11" s="5" t="s">
        <v>33</v>
      </c>
      <c r="C11" s="5" t="s">
        <v>34</v>
      </c>
      <c r="D11" s="5" t="s">
        <v>35</v>
      </c>
      <c r="E11" s="5" t="s">
        <v>36</v>
      </c>
      <c r="F11" s="5" t="s">
        <v>37</v>
      </c>
    </row>
    <row r="12" spans="1:9" x14ac:dyDescent="0.35">
      <c r="A12" s="3" t="s">
        <v>29</v>
      </c>
      <c r="B12" s="3">
        <v>2</v>
      </c>
      <c r="C12" s="3">
        <v>28901803739704.934</v>
      </c>
      <c r="D12" s="3">
        <v>14450901869852.467</v>
      </c>
      <c r="E12" s="3">
        <v>10.98652185303686</v>
      </c>
      <c r="F12" s="3">
        <v>8.6560363836572112E-4</v>
      </c>
    </row>
    <row r="13" spans="1:9" x14ac:dyDescent="0.35">
      <c r="A13" s="3" t="s">
        <v>30</v>
      </c>
      <c r="B13" s="3">
        <v>17</v>
      </c>
      <c r="C13" s="3">
        <v>22360610125176.777</v>
      </c>
      <c r="D13" s="3">
        <v>1315330007363.3398</v>
      </c>
      <c r="E13" s="3"/>
      <c r="F13" s="3"/>
    </row>
    <row r="14" spans="1:9" ht="15" thickBot="1" x14ac:dyDescent="0.4">
      <c r="A14" s="4" t="s">
        <v>31</v>
      </c>
      <c r="B14" s="4">
        <v>19</v>
      </c>
      <c r="C14" s="4">
        <v>51262413864881.711</v>
      </c>
      <c r="D14" s="4"/>
      <c r="E14" s="4"/>
      <c r="F14" s="4"/>
    </row>
    <row r="15" spans="1:9" ht="15" thickBot="1" x14ac:dyDescent="0.4"/>
    <row r="16" spans="1:9" x14ac:dyDescent="0.35">
      <c r="A16" s="5"/>
      <c r="B16" s="5" t="s">
        <v>38</v>
      </c>
      <c r="C16" s="5" t="s">
        <v>26</v>
      </c>
      <c r="D16" s="5" t="s">
        <v>39</v>
      </c>
      <c r="E16" s="5" t="s">
        <v>40</v>
      </c>
      <c r="F16" s="5" t="s">
        <v>41</v>
      </c>
      <c r="G16" s="5" t="s">
        <v>42</v>
      </c>
      <c r="H16" s="5" t="s">
        <v>43</v>
      </c>
      <c r="I16" s="5" t="s">
        <v>44</v>
      </c>
    </row>
    <row r="17" spans="1:9" x14ac:dyDescent="0.35">
      <c r="A17" s="3" t="s">
        <v>32</v>
      </c>
      <c r="B17" s="3">
        <v>467785.52884138655</v>
      </c>
      <c r="C17" s="3">
        <v>1358972.9368605223</v>
      </c>
      <c r="D17" s="3">
        <v>0.3442199003035758</v>
      </c>
      <c r="E17" s="3">
        <v>0.73490212239783403</v>
      </c>
      <c r="F17" s="3">
        <v>-2399396.7432008358</v>
      </c>
      <c r="G17" s="3">
        <v>3334967.8008836089</v>
      </c>
      <c r="H17" s="3">
        <v>-2399396.7432008358</v>
      </c>
      <c r="I17" s="3">
        <v>3334967.8008836089</v>
      </c>
    </row>
    <row r="18" spans="1:9" x14ac:dyDescent="0.35">
      <c r="A18" s="3" t="s">
        <v>14</v>
      </c>
      <c r="B18" s="3">
        <v>383.08886508383819</v>
      </c>
      <c r="C18" s="3">
        <v>271.51711616151704</v>
      </c>
      <c r="D18" s="3">
        <v>1.4109197626272321</v>
      </c>
      <c r="E18" s="3">
        <v>0.17630635433767944</v>
      </c>
      <c r="F18" s="3">
        <v>-189.76217624210869</v>
      </c>
      <c r="G18" s="3">
        <v>955.93990640978507</v>
      </c>
      <c r="H18" s="3">
        <v>-189.76217624210869</v>
      </c>
      <c r="I18" s="3">
        <v>955.93990640978507</v>
      </c>
    </row>
    <row r="19" spans="1:9" ht="15" thickBot="1" x14ac:dyDescent="0.4">
      <c r="A19" s="4" t="s">
        <v>15</v>
      </c>
      <c r="B19" s="4">
        <v>-16.472805607879351</v>
      </c>
      <c r="C19" s="4">
        <v>24.252611172940497</v>
      </c>
      <c r="D19" s="4">
        <v>-0.67921781660601754</v>
      </c>
      <c r="E19" s="4">
        <v>0.50614310689590569</v>
      </c>
      <c r="F19" s="4">
        <v>-67.641342463683571</v>
      </c>
      <c r="G19" s="4">
        <v>34.695731247924861</v>
      </c>
      <c r="H19" s="4">
        <v>-67.641342463683571</v>
      </c>
      <c r="I19" s="4">
        <v>34.695731247924861</v>
      </c>
    </row>
    <row r="23" spans="1:9" x14ac:dyDescent="0.35">
      <c r="A23" t="s">
        <v>45</v>
      </c>
      <c r="F23" t="s">
        <v>50</v>
      </c>
    </row>
    <row r="24" spans="1:9" ht="15" thickBot="1" x14ac:dyDescent="0.4"/>
    <row r="25" spans="1:9" x14ac:dyDescent="0.35">
      <c r="A25" s="5" t="s">
        <v>46</v>
      </c>
      <c r="B25" s="5" t="s">
        <v>47</v>
      </c>
      <c r="C25" s="5" t="s">
        <v>48</v>
      </c>
      <c r="D25" s="5" t="s">
        <v>49</v>
      </c>
      <c r="F25" s="5" t="s">
        <v>51</v>
      </c>
      <c r="G25" s="5" t="s">
        <v>9</v>
      </c>
    </row>
    <row r="26" spans="1:9" x14ac:dyDescent="0.35">
      <c r="A26" s="3">
        <v>1</v>
      </c>
      <c r="B26" s="3">
        <v>7390886.9746059831</v>
      </c>
      <c r="C26" s="3">
        <v>175775.58539401647</v>
      </c>
      <c r="D26" s="3">
        <v>0.162029289915474</v>
      </c>
      <c r="F26" s="3">
        <v>2.5</v>
      </c>
      <c r="G26" s="3">
        <v>3525384.82</v>
      </c>
    </row>
    <row r="27" spans="1:9" x14ac:dyDescent="0.35">
      <c r="A27" s="3">
        <v>2</v>
      </c>
      <c r="B27" s="3">
        <v>5339812.2450930998</v>
      </c>
      <c r="C27" s="3">
        <v>-167881.71509309951</v>
      </c>
      <c r="D27" s="3">
        <v>-0.15475274922482379</v>
      </c>
      <c r="F27" s="3">
        <v>7.5</v>
      </c>
      <c r="G27" s="3">
        <v>3728224.06006451</v>
      </c>
    </row>
    <row r="28" spans="1:9" x14ac:dyDescent="0.35">
      <c r="A28" s="3">
        <v>3</v>
      </c>
      <c r="B28" s="3">
        <v>7831893.5759633193</v>
      </c>
      <c r="C28" s="3">
        <v>-398195.16465452965</v>
      </c>
      <c r="D28" s="3">
        <v>-0.36705484229862206</v>
      </c>
      <c r="F28" s="3">
        <v>12.5</v>
      </c>
      <c r="G28" s="3">
        <v>3942666.4884586702</v>
      </c>
    </row>
    <row r="29" spans="1:9" x14ac:dyDescent="0.35">
      <c r="A29" s="3">
        <v>4</v>
      </c>
      <c r="B29" s="3">
        <v>5644452.1834488064</v>
      </c>
      <c r="C29" s="3">
        <v>-878614.05475759599</v>
      </c>
      <c r="D29" s="3">
        <v>-0.80990321313971714</v>
      </c>
      <c r="F29" s="3">
        <v>17.5</v>
      </c>
      <c r="G29" s="3">
        <v>4105489.87</v>
      </c>
    </row>
    <row r="30" spans="1:9" x14ac:dyDescent="0.35">
      <c r="A30" s="3">
        <v>5</v>
      </c>
      <c r="B30" s="3">
        <v>7511603.7837108187</v>
      </c>
      <c r="C30" s="3">
        <v>-1039156.6437108191</v>
      </c>
      <c r="D30" s="3">
        <v>-0.95789078280687556</v>
      </c>
      <c r="F30" s="3">
        <v>22.5</v>
      </c>
      <c r="G30" s="3">
        <v>4460307.88</v>
      </c>
    </row>
    <row r="31" spans="1:9" x14ac:dyDescent="0.35">
      <c r="A31" s="3">
        <v>6</v>
      </c>
      <c r="B31" s="3">
        <v>5078298.3911145478</v>
      </c>
      <c r="C31" s="3">
        <v>-972808.52111454774</v>
      </c>
      <c r="D31" s="3">
        <v>-0.89673132674589395</v>
      </c>
      <c r="F31" s="3">
        <v>27.5</v>
      </c>
      <c r="G31" s="3">
        <v>4765838.1286912104</v>
      </c>
    </row>
    <row r="32" spans="1:9" x14ac:dyDescent="0.35">
      <c r="A32" s="3">
        <v>7</v>
      </c>
      <c r="B32" s="3">
        <v>6953727.2110897982</v>
      </c>
      <c r="C32" s="3">
        <v>-707586.65108979866</v>
      </c>
      <c r="D32" s="3">
        <v>-0.6522507797243331</v>
      </c>
      <c r="F32" s="3">
        <v>32.5</v>
      </c>
      <c r="G32" s="3">
        <v>4968281.5088999998</v>
      </c>
    </row>
    <row r="33" spans="1:7" x14ac:dyDescent="0.35">
      <c r="A33" s="3">
        <v>8</v>
      </c>
      <c r="B33" s="3">
        <v>4694857.4080813127</v>
      </c>
      <c r="C33" s="3">
        <v>-1169472.5880813128</v>
      </c>
      <c r="D33" s="3">
        <v>-1.0780155423614199</v>
      </c>
      <c r="F33" s="3">
        <v>37.5</v>
      </c>
      <c r="G33" s="3">
        <v>5082744.6148381699</v>
      </c>
    </row>
    <row r="34" spans="1:7" x14ac:dyDescent="0.35">
      <c r="A34" s="3">
        <v>9</v>
      </c>
      <c r="B34" s="3">
        <v>6961416.2387422342</v>
      </c>
      <c r="C34" s="3">
        <v>204453.55945776589</v>
      </c>
      <c r="D34" s="3">
        <v>0.18846454122382708</v>
      </c>
      <c r="F34" s="3">
        <v>42.5</v>
      </c>
      <c r="G34" s="3">
        <v>5171930.53</v>
      </c>
    </row>
    <row r="35" spans="1:7" x14ac:dyDescent="0.35">
      <c r="A35" s="3">
        <v>10</v>
      </c>
      <c r="B35" s="3">
        <v>5991719.7960013188</v>
      </c>
      <c r="C35" s="3">
        <v>-1023438.2871013191</v>
      </c>
      <c r="D35" s="3">
        <v>-0.94340165933522535</v>
      </c>
      <c r="F35" s="3">
        <v>47.5</v>
      </c>
      <c r="G35" s="3">
        <v>5800677.8690177696</v>
      </c>
    </row>
    <row r="36" spans="1:7" x14ac:dyDescent="0.35">
      <c r="A36" s="3">
        <v>11</v>
      </c>
      <c r="B36" s="3">
        <v>6793800.4218575619</v>
      </c>
      <c r="C36" s="3">
        <v>-223878.64785756171</v>
      </c>
      <c r="D36" s="3">
        <v>-0.20637051646440999</v>
      </c>
      <c r="F36" s="3">
        <v>52.5</v>
      </c>
      <c r="G36" s="3">
        <v>6246140.5599999996</v>
      </c>
    </row>
    <row r="37" spans="1:7" x14ac:dyDescent="0.35">
      <c r="A37" s="3">
        <v>12</v>
      </c>
      <c r="B37" s="3">
        <v>5781277.0697226077</v>
      </c>
      <c r="C37" s="3">
        <v>-1320969.1897226078</v>
      </c>
      <c r="D37" s="3">
        <v>-1.2176645541028541</v>
      </c>
      <c r="F37" s="3">
        <v>57.5</v>
      </c>
      <c r="G37" s="3">
        <v>6306616.9623043798</v>
      </c>
    </row>
    <row r="38" spans="1:7" x14ac:dyDescent="0.35">
      <c r="A38" s="3">
        <v>13</v>
      </c>
      <c r="B38" s="3">
        <v>6527576.0972936386</v>
      </c>
      <c r="C38" s="3">
        <v>113487.9878476914</v>
      </c>
      <c r="D38" s="3">
        <v>0.10461281095254617</v>
      </c>
      <c r="F38" s="3">
        <v>62.5</v>
      </c>
      <c r="G38" s="3">
        <v>6472447.1399999997</v>
      </c>
    </row>
    <row r="39" spans="1:7" x14ac:dyDescent="0.35">
      <c r="A39" s="3">
        <v>14</v>
      </c>
      <c r="B39" s="3">
        <v>4288088.2785175983</v>
      </c>
      <c r="C39" s="3">
        <v>-345421.79005892808</v>
      </c>
      <c r="D39" s="3">
        <v>-0.31840853915588929</v>
      </c>
      <c r="F39" s="3">
        <v>67.5</v>
      </c>
      <c r="G39" s="3">
        <v>6569921.7740000002</v>
      </c>
    </row>
    <row r="40" spans="1:7" x14ac:dyDescent="0.35">
      <c r="A40" s="3">
        <v>15</v>
      </c>
      <c r="B40" s="3">
        <v>5312558.7152851112</v>
      </c>
      <c r="C40" s="3">
        <v>994058.24701926857</v>
      </c>
      <c r="D40" s="3">
        <v>0.91631924614620441</v>
      </c>
      <c r="F40" s="3">
        <v>72.5</v>
      </c>
      <c r="G40" s="3">
        <v>6641064.08514133</v>
      </c>
    </row>
    <row r="41" spans="1:7" x14ac:dyDescent="0.35">
      <c r="A41" s="3">
        <v>16</v>
      </c>
      <c r="B41" s="3">
        <v>3522099.0594256725</v>
      </c>
      <c r="C41" s="3">
        <v>206125.00063883746</v>
      </c>
      <c r="D41" s="3">
        <v>0.1900052695741121</v>
      </c>
      <c r="F41" s="3">
        <v>77.5</v>
      </c>
      <c r="G41" s="3">
        <v>7165869.7982000001</v>
      </c>
    </row>
    <row r="42" spans="1:7" x14ac:dyDescent="0.35">
      <c r="A42" s="3">
        <v>17</v>
      </c>
      <c r="B42" s="3">
        <v>6834259.8974731928</v>
      </c>
      <c r="C42" s="3">
        <v>1641898.5061112465</v>
      </c>
      <c r="D42" s="3">
        <v>1.5134960208617168</v>
      </c>
      <c r="F42" s="3">
        <v>82.5</v>
      </c>
      <c r="G42" s="3">
        <v>7433698.4113087896</v>
      </c>
    </row>
    <row r="43" spans="1:7" x14ac:dyDescent="0.35">
      <c r="A43" s="3">
        <v>18</v>
      </c>
      <c r="B43" s="3">
        <v>4481432.4134136029</v>
      </c>
      <c r="C43" s="3">
        <v>601312.20142456703</v>
      </c>
      <c r="D43" s="3">
        <v>0.55428738181093073</v>
      </c>
      <c r="F43" s="3">
        <v>87.5</v>
      </c>
      <c r="G43" s="3">
        <v>7566662.5599999996</v>
      </c>
    </row>
    <row r="44" spans="1:7" x14ac:dyDescent="0.35">
      <c r="A44" s="3">
        <v>19</v>
      </c>
      <c r="B44" s="3">
        <v>6675307.1500655375</v>
      </c>
      <c r="C44" s="3">
        <v>2890857.3689875733</v>
      </c>
      <c r="D44" s="3">
        <v>2.6647817197934742</v>
      </c>
      <c r="F44" s="3">
        <v>92.5</v>
      </c>
      <c r="G44" s="3">
        <v>8476158.4035844393</v>
      </c>
    </row>
    <row r="45" spans="1:7" ht="15" thickBot="1" x14ac:dyDescent="0.4">
      <c r="A45" s="4">
        <v>20</v>
      </c>
      <c r="B45" s="4">
        <v>4381223.0726566054</v>
      </c>
      <c r="C45" s="4">
        <v>1419454.7963611642</v>
      </c>
      <c r="D45" s="4">
        <v>1.3084482250817884</v>
      </c>
      <c r="F45" s="4">
        <v>97.5</v>
      </c>
      <c r="G45" s="4">
        <v>9566164.5190531109</v>
      </c>
    </row>
  </sheetData>
  <sortState xmlns:xlrd2="http://schemas.microsoft.com/office/spreadsheetml/2017/richdata2" ref="G26:G45">
    <sortCondition ref="G26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3DBBD-3895-4BF3-AF39-16CADEED31EC}">
  <sheetPr>
    <tabColor theme="1"/>
  </sheetPr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0A42-0E95-4572-B5FA-B06CCBC22068}">
  <dimension ref="A1:P22"/>
  <sheetViews>
    <sheetView tabSelected="1" workbookViewId="0">
      <selection activeCell="M25" sqref="M25"/>
    </sheetView>
  </sheetViews>
  <sheetFormatPr defaultRowHeight="14.5" outlineLevelRow="1" x14ac:dyDescent="0.35"/>
  <sheetData>
    <row r="1" spans="1:16" s="1" customFormat="1" outlineLevel="1" x14ac:dyDescent="0.35">
      <c r="A1" s="1" t="s">
        <v>20</v>
      </c>
      <c r="B1" s="2" t="s">
        <v>19</v>
      </c>
    </row>
    <row r="2" spans="1:1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</row>
    <row r="3" spans="1:16" x14ac:dyDescent="0.35">
      <c r="A3">
        <v>2013</v>
      </c>
      <c r="B3" t="s">
        <v>16</v>
      </c>
      <c r="C3" t="s">
        <v>17</v>
      </c>
      <c r="D3">
        <v>4994100</v>
      </c>
      <c r="E3">
        <v>6.2119841219999996</v>
      </c>
      <c r="F3">
        <v>37.300189858000003</v>
      </c>
      <c r="G3">
        <v>1218075</v>
      </c>
      <c r="H3">
        <v>4.0999999999999996</v>
      </c>
      <c r="I3">
        <v>4100</v>
      </c>
      <c r="J3">
        <v>7566662.5599999996</v>
      </c>
      <c r="K3">
        <v>0.19156520299999999</v>
      </c>
      <c r="L3">
        <v>1449509.25</v>
      </c>
      <c r="M3">
        <v>11</v>
      </c>
      <c r="N3">
        <v>4001562.56</v>
      </c>
      <c r="O3">
        <v>32656</v>
      </c>
      <c r="P3">
        <v>339168</v>
      </c>
    </row>
    <row r="4" spans="1:16" x14ac:dyDescent="0.35">
      <c r="A4">
        <v>2013</v>
      </c>
      <c r="B4" t="s">
        <v>16</v>
      </c>
      <c r="C4" t="s">
        <v>18</v>
      </c>
      <c r="D4">
        <v>4204800</v>
      </c>
      <c r="E4">
        <v>4.3050272019999998</v>
      </c>
      <c r="F4">
        <v>55.182123007999998</v>
      </c>
      <c r="G4">
        <v>1201370</v>
      </c>
      <c r="H4">
        <v>3.5</v>
      </c>
      <c r="I4">
        <v>4045</v>
      </c>
      <c r="J4">
        <v>5171930.53</v>
      </c>
      <c r="K4">
        <v>0.27642101800000002</v>
      </c>
      <c r="L4">
        <v>1429630.3</v>
      </c>
      <c r="M4">
        <v>8</v>
      </c>
      <c r="N4">
        <v>2579130.5299999998</v>
      </c>
      <c r="O4">
        <v>21771</v>
      </c>
      <c r="P4">
        <v>210541</v>
      </c>
    </row>
    <row r="5" spans="1:16" x14ac:dyDescent="0.35">
      <c r="A5">
        <v>2014</v>
      </c>
      <c r="B5" t="s">
        <v>16</v>
      </c>
      <c r="C5" t="s">
        <v>17</v>
      </c>
      <c r="D5">
        <v>4977100</v>
      </c>
      <c r="E5">
        <v>6.1237388209999999</v>
      </c>
      <c r="F5">
        <v>35.759124518</v>
      </c>
      <c r="G5">
        <v>1213915</v>
      </c>
      <c r="H5">
        <v>4.0999999999999996</v>
      </c>
      <c r="I5">
        <v>4086</v>
      </c>
      <c r="J5">
        <v>7433698.4113087896</v>
      </c>
      <c r="K5">
        <v>0.20498914700000001</v>
      </c>
      <c r="L5">
        <v>1523827.4994999999</v>
      </c>
      <c r="M5">
        <v>11</v>
      </c>
      <c r="N5">
        <v>3704698.4113087901</v>
      </c>
      <c r="O5">
        <v>33947</v>
      </c>
      <c r="P5">
        <v>342419.48761788802</v>
      </c>
    </row>
    <row r="6" spans="1:16" x14ac:dyDescent="0.35">
      <c r="A6">
        <v>2014</v>
      </c>
      <c r="B6" t="s">
        <v>16</v>
      </c>
      <c r="C6" t="s">
        <v>18</v>
      </c>
      <c r="D6">
        <v>4202700</v>
      </c>
      <c r="E6">
        <v>3.9689850089999998</v>
      </c>
      <c r="F6">
        <v>53.058636384000003</v>
      </c>
      <c r="G6">
        <v>1200770</v>
      </c>
      <c r="H6">
        <v>3.5</v>
      </c>
      <c r="I6">
        <v>4043</v>
      </c>
      <c r="J6">
        <v>4765838.1286912104</v>
      </c>
      <c r="K6">
        <v>0.31627733499999999</v>
      </c>
      <c r="L6">
        <v>1507326.581</v>
      </c>
      <c r="M6">
        <v>7</v>
      </c>
      <c r="N6">
        <v>2392838.1286912099</v>
      </c>
      <c r="O6">
        <v>22631</v>
      </c>
      <c r="P6">
        <v>212047.51238211201</v>
      </c>
    </row>
    <row r="7" spans="1:16" x14ac:dyDescent="0.35">
      <c r="A7">
        <v>2015</v>
      </c>
      <c r="B7" t="s">
        <v>16</v>
      </c>
      <c r="C7" t="s">
        <v>17</v>
      </c>
      <c r="D7">
        <v>5044900</v>
      </c>
      <c r="E7">
        <v>5.260137898</v>
      </c>
      <c r="F7">
        <v>38.079751184000003</v>
      </c>
      <c r="G7">
        <v>1230471</v>
      </c>
      <c r="H7">
        <v>4.0999999999999996</v>
      </c>
      <c r="I7">
        <v>4143</v>
      </c>
      <c r="J7">
        <v>6472447.1399999997</v>
      </c>
      <c r="K7">
        <v>0.24143853700000001</v>
      </c>
      <c r="L7">
        <v>1562698.17</v>
      </c>
      <c r="M7">
        <v>11</v>
      </c>
      <c r="N7">
        <v>3273647.14</v>
      </c>
      <c r="O7">
        <v>32313</v>
      </c>
      <c r="P7">
        <v>323863</v>
      </c>
    </row>
    <row r="8" spans="1:16" x14ac:dyDescent="0.35">
      <c r="A8">
        <v>2015</v>
      </c>
      <c r="B8" t="s">
        <v>16</v>
      </c>
      <c r="C8" t="s">
        <v>18</v>
      </c>
      <c r="D8">
        <v>4232800</v>
      </c>
      <c r="E8">
        <v>3.394695043</v>
      </c>
      <c r="F8">
        <v>58.540297207000002</v>
      </c>
      <c r="G8">
        <v>1209384</v>
      </c>
      <c r="H8">
        <v>3.5</v>
      </c>
      <c r="I8">
        <v>4072</v>
      </c>
      <c r="J8">
        <v>4105489.87</v>
      </c>
      <c r="K8">
        <v>0.37411313400000001</v>
      </c>
      <c r="L8">
        <v>1535917.68</v>
      </c>
      <c r="M8">
        <v>7</v>
      </c>
      <c r="N8">
        <v>2069889.87</v>
      </c>
      <c r="O8">
        <v>20659</v>
      </c>
      <c r="P8">
        <v>200556</v>
      </c>
    </row>
    <row r="9" spans="1:16" x14ac:dyDescent="0.35">
      <c r="A9">
        <v>2016</v>
      </c>
      <c r="B9" t="s">
        <v>16</v>
      </c>
      <c r="C9" t="s">
        <v>17</v>
      </c>
      <c r="D9">
        <v>4096100</v>
      </c>
      <c r="E9">
        <v>6.2520174559999999</v>
      </c>
      <c r="F9">
        <v>34.641470179999999</v>
      </c>
      <c r="G9">
        <v>999060</v>
      </c>
      <c r="H9">
        <v>4.0999999999999996</v>
      </c>
      <c r="I9">
        <v>4235</v>
      </c>
      <c r="J9">
        <v>6246140.5599999996</v>
      </c>
      <c r="K9">
        <v>0.19991867399999999</v>
      </c>
      <c r="L9">
        <v>1248720.1359999999</v>
      </c>
      <c r="M9">
        <v>10</v>
      </c>
      <c r="N9">
        <v>3048192.56</v>
      </c>
      <c r="O9">
        <v>28840</v>
      </c>
      <c r="P9">
        <v>276962</v>
      </c>
    </row>
    <row r="10" spans="1:16" x14ac:dyDescent="0.35">
      <c r="A10">
        <v>2016</v>
      </c>
      <c r="B10" t="s">
        <v>16</v>
      </c>
      <c r="C10" t="s">
        <v>18</v>
      </c>
      <c r="D10">
        <v>3381200</v>
      </c>
      <c r="E10">
        <v>3.6492022519999998</v>
      </c>
      <c r="F10">
        <v>52.395596052000002</v>
      </c>
      <c r="G10">
        <v>966070</v>
      </c>
      <c r="H10">
        <v>3.5</v>
      </c>
      <c r="I10">
        <v>4095</v>
      </c>
      <c r="J10">
        <v>3525384.82</v>
      </c>
      <c r="K10">
        <v>0.34133487600000001</v>
      </c>
      <c r="L10">
        <v>1203336.7919999999</v>
      </c>
      <c r="M10">
        <v>5</v>
      </c>
      <c r="N10">
        <v>1926884.82</v>
      </c>
      <c r="O10">
        <v>18438</v>
      </c>
      <c r="P10">
        <v>172182</v>
      </c>
    </row>
    <row r="11" spans="1:16" x14ac:dyDescent="0.35">
      <c r="A11">
        <v>2018</v>
      </c>
      <c r="B11" t="s">
        <v>16</v>
      </c>
      <c r="C11" t="s">
        <v>17</v>
      </c>
      <c r="D11">
        <v>5255300</v>
      </c>
      <c r="E11">
        <v>5.5905832130000004</v>
      </c>
      <c r="F11">
        <v>41.196085363999998</v>
      </c>
      <c r="G11">
        <v>1281775</v>
      </c>
      <c r="H11">
        <v>4.0999999999999996</v>
      </c>
      <c r="I11">
        <v>4344</v>
      </c>
      <c r="J11">
        <v>7165869.7982000001</v>
      </c>
      <c r="K11">
        <v>0.23066334599999999</v>
      </c>
      <c r="L11">
        <v>1652903.5075000001</v>
      </c>
      <c r="M11">
        <v>10</v>
      </c>
      <c r="N11">
        <v>3626799.7982000001</v>
      </c>
      <c r="O11">
        <v>31114</v>
      </c>
      <c r="P11">
        <v>329379</v>
      </c>
    </row>
    <row r="12" spans="1:16" x14ac:dyDescent="0.35">
      <c r="A12">
        <v>2018</v>
      </c>
      <c r="B12" t="s">
        <v>16</v>
      </c>
      <c r="C12" t="s">
        <v>18</v>
      </c>
      <c r="D12">
        <v>4425800</v>
      </c>
      <c r="E12">
        <v>3.9289705690000001</v>
      </c>
      <c r="F12">
        <v>54.734233648999997</v>
      </c>
      <c r="G12">
        <v>1264525</v>
      </c>
      <c r="H12">
        <v>3.5</v>
      </c>
      <c r="I12">
        <v>4288</v>
      </c>
      <c r="J12">
        <v>4968281.5088999998</v>
      </c>
      <c r="K12">
        <v>0.32618704900000001</v>
      </c>
      <c r="L12">
        <v>1620589.0825</v>
      </c>
      <c r="M12">
        <v>7</v>
      </c>
      <c r="N12">
        <v>2490932.5088999998</v>
      </c>
      <c r="O12">
        <v>23103</v>
      </c>
      <c r="P12">
        <v>201943</v>
      </c>
    </row>
    <row r="13" spans="1:16" x14ac:dyDescent="0.35">
      <c r="A13">
        <v>2019</v>
      </c>
      <c r="B13" t="s">
        <v>16</v>
      </c>
      <c r="C13" t="s">
        <v>17</v>
      </c>
      <c r="D13">
        <v>4641200</v>
      </c>
      <c r="E13">
        <v>5.8038229489999997</v>
      </c>
      <c r="F13">
        <v>37.798817950999997</v>
      </c>
      <c r="G13">
        <v>1131999</v>
      </c>
      <c r="H13">
        <v>4.0999999999999996</v>
      </c>
      <c r="I13">
        <v>3844</v>
      </c>
      <c r="J13">
        <v>6569921.7740000002</v>
      </c>
      <c r="K13">
        <v>0.23230803999999999</v>
      </c>
      <c r="L13">
        <v>1526245.652</v>
      </c>
      <c r="M13">
        <v>9</v>
      </c>
      <c r="N13">
        <v>3633642.7740000002</v>
      </c>
      <c r="O13">
        <v>29948</v>
      </c>
      <c r="P13">
        <v>312438</v>
      </c>
    </row>
    <row r="14" spans="1:16" x14ac:dyDescent="0.35">
      <c r="A14">
        <v>2019</v>
      </c>
      <c r="B14" t="s">
        <v>16</v>
      </c>
      <c r="C14" t="s">
        <v>18</v>
      </c>
      <c r="D14">
        <v>4007400</v>
      </c>
      <c r="E14">
        <v>3.895536844</v>
      </c>
      <c r="F14">
        <v>51.631448413000001</v>
      </c>
      <c r="G14">
        <v>1144979</v>
      </c>
      <c r="H14">
        <v>3.5</v>
      </c>
      <c r="I14">
        <v>3888</v>
      </c>
      <c r="J14">
        <v>4460307.88</v>
      </c>
      <c r="K14">
        <v>0.34384816800000001</v>
      </c>
      <c r="L14">
        <v>1533668.692</v>
      </c>
      <c r="M14">
        <v>6</v>
      </c>
      <c r="N14">
        <v>2500707.88</v>
      </c>
      <c r="O14">
        <v>22176</v>
      </c>
      <c r="P14">
        <v>193160</v>
      </c>
    </row>
    <row r="15" spans="1:16" x14ac:dyDescent="0.35">
      <c r="A15">
        <v>2021</v>
      </c>
      <c r="B15" t="s">
        <v>16</v>
      </c>
      <c r="C15" t="s">
        <v>17</v>
      </c>
      <c r="D15">
        <v>1630700</v>
      </c>
      <c r="E15">
        <v>16.697502023999998</v>
      </c>
      <c r="F15">
        <v>15.088758294</v>
      </c>
      <c r="G15">
        <v>397728</v>
      </c>
      <c r="H15">
        <v>4.0999999999999996</v>
      </c>
      <c r="I15">
        <v>3844</v>
      </c>
      <c r="J15">
        <v>6641064.08514133</v>
      </c>
      <c r="K15">
        <v>8.0777468000000005E-2</v>
      </c>
      <c r="L15">
        <v>536448.34400000004</v>
      </c>
      <c r="M15">
        <v>9</v>
      </c>
      <c r="N15">
        <v>3381264.08514133</v>
      </c>
      <c r="O15">
        <v>26359.226666667</v>
      </c>
      <c r="P15">
        <v>245139.52</v>
      </c>
    </row>
    <row r="16" spans="1:16" x14ac:dyDescent="0.35">
      <c r="A16">
        <v>2021</v>
      </c>
      <c r="B16" t="s">
        <v>16</v>
      </c>
      <c r="C16" t="s">
        <v>18</v>
      </c>
      <c r="D16">
        <v>1408000</v>
      </c>
      <c r="E16">
        <v>9.8005823880000005</v>
      </c>
      <c r="F16">
        <v>24.208357637999999</v>
      </c>
      <c r="G16">
        <v>402289</v>
      </c>
      <c r="H16">
        <v>3.5</v>
      </c>
      <c r="I16">
        <v>3888</v>
      </c>
      <c r="J16">
        <v>3942666.4884586702</v>
      </c>
      <c r="K16">
        <v>0.13506660400000001</v>
      </c>
      <c r="L16">
        <v>532522.57200000004</v>
      </c>
      <c r="M16">
        <v>5</v>
      </c>
      <c r="N16">
        <v>2131666.4884586702</v>
      </c>
      <c r="O16">
        <v>16617.773333333</v>
      </c>
      <c r="P16">
        <v>154544.48000000001</v>
      </c>
    </row>
    <row r="17" spans="1:16" x14ac:dyDescent="0.35">
      <c r="A17">
        <v>2022</v>
      </c>
      <c r="B17" t="s">
        <v>16</v>
      </c>
      <c r="C17" t="s">
        <v>17</v>
      </c>
      <c r="D17">
        <v>1700900</v>
      </c>
      <c r="E17">
        <v>15.201759053</v>
      </c>
      <c r="F17">
        <v>19.629234869000001</v>
      </c>
      <c r="G17">
        <v>414861</v>
      </c>
      <c r="H17">
        <v>4.0999999999999996</v>
      </c>
      <c r="I17">
        <v>3844</v>
      </c>
      <c r="J17">
        <v>6306616.9623043798</v>
      </c>
      <c r="K17">
        <v>9.0206666000000005E-2</v>
      </c>
      <c r="L17">
        <v>568898.88930000004</v>
      </c>
      <c r="M17">
        <v>9</v>
      </c>
      <c r="N17">
        <v>2998801.9205386699</v>
      </c>
      <c r="O17">
        <v>21134.853333333002</v>
      </c>
      <c r="P17">
        <v>197401.33333333299</v>
      </c>
    </row>
    <row r="18" spans="1:16" x14ac:dyDescent="0.35">
      <c r="A18">
        <v>2022</v>
      </c>
      <c r="B18" t="s">
        <v>16</v>
      </c>
      <c r="C18" t="s">
        <v>18</v>
      </c>
      <c r="D18">
        <v>1468700</v>
      </c>
      <c r="E18">
        <v>8.8848048940000002</v>
      </c>
      <c r="F18">
        <v>31.493048711</v>
      </c>
      <c r="G18">
        <v>419618</v>
      </c>
      <c r="H18">
        <v>3.5</v>
      </c>
      <c r="I18">
        <v>3888</v>
      </c>
      <c r="J18">
        <v>3728224.06006451</v>
      </c>
      <c r="K18">
        <v>0.154342162</v>
      </c>
      <c r="L18">
        <v>575422.16339999996</v>
      </c>
      <c r="M18">
        <v>5</v>
      </c>
      <c r="N18">
        <v>1890549.03686133</v>
      </c>
      <c r="O18">
        <v>13324.146666667</v>
      </c>
      <c r="P18">
        <v>124448.66666666701</v>
      </c>
    </row>
    <row r="19" spans="1:16" x14ac:dyDescent="0.35">
      <c r="A19">
        <v>2023</v>
      </c>
      <c r="B19" t="s">
        <v>16</v>
      </c>
      <c r="C19" t="s">
        <v>17</v>
      </c>
      <c r="D19">
        <v>2158200</v>
      </c>
      <c r="E19">
        <v>16.102308164</v>
      </c>
      <c r="F19">
        <v>18.878427851000001</v>
      </c>
      <c r="G19">
        <v>526394</v>
      </c>
      <c r="H19">
        <v>4.0999999999999996</v>
      </c>
      <c r="I19">
        <v>2022.9811363639999</v>
      </c>
      <c r="J19">
        <v>8476158.4035844393</v>
      </c>
      <c r="K19">
        <v>8.4081112999999999E-2</v>
      </c>
      <c r="L19">
        <v>712684.83660000004</v>
      </c>
      <c r="M19">
        <v>9</v>
      </c>
      <c r="N19">
        <v>4991607.6683413303</v>
      </c>
      <c r="O19">
        <v>27883.360000000001</v>
      </c>
      <c r="P19">
        <v>261966.933333333</v>
      </c>
    </row>
    <row r="20" spans="1:16" x14ac:dyDescent="0.35">
      <c r="A20">
        <v>2023</v>
      </c>
      <c r="B20" t="s">
        <v>16</v>
      </c>
      <c r="C20" t="s">
        <v>18</v>
      </c>
      <c r="D20">
        <v>1887000</v>
      </c>
      <c r="E20">
        <v>9.4275741459999995</v>
      </c>
      <c r="F20">
        <v>30.669949439</v>
      </c>
      <c r="G20">
        <v>539136</v>
      </c>
      <c r="H20">
        <v>3.5</v>
      </c>
      <c r="I20">
        <v>2096.6436174239998</v>
      </c>
      <c r="J20">
        <v>5082744.6148381699</v>
      </c>
      <c r="K20">
        <v>0.14361064500000001</v>
      </c>
      <c r="L20">
        <v>729936.2304</v>
      </c>
      <c r="M20">
        <v>5</v>
      </c>
      <c r="N20">
        <v>3146883.0952586699</v>
      </c>
      <c r="O20">
        <v>17578.64</v>
      </c>
      <c r="P20">
        <v>165153.066666667</v>
      </c>
    </row>
    <row r="21" spans="1:16" x14ac:dyDescent="0.35">
      <c r="A21">
        <v>2024</v>
      </c>
      <c r="B21" t="s">
        <v>16</v>
      </c>
      <c r="C21" t="s">
        <v>17</v>
      </c>
      <c r="D21">
        <v>2559400</v>
      </c>
      <c r="E21">
        <v>13.467401339</v>
      </c>
      <c r="F21">
        <v>26.136999204999999</v>
      </c>
      <c r="G21">
        <v>710320</v>
      </c>
      <c r="H21">
        <v>3.6031495859999998</v>
      </c>
      <c r="I21">
        <v>2173.2638888890001</v>
      </c>
      <c r="J21">
        <v>9566164.5190531109</v>
      </c>
      <c r="K21">
        <v>8.6341823999999998E-2</v>
      </c>
      <c r="L21">
        <v>825960.09600000002</v>
      </c>
      <c r="M21">
        <v>7</v>
      </c>
      <c r="N21">
        <v>5665473.8062079996</v>
      </c>
      <c r="O21">
        <v>27176.799999999999</v>
      </c>
      <c r="P21">
        <v>255184.69333333301</v>
      </c>
    </row>
    <row r="22" spans="1:16" x14ac:dyDescent="0.35">
      <c r="A22">
        <v>2024</v>
      </c>
      <c r="B22" t="s">
        <v>16</v>
      </c>
      <c r="C22" t="s">
        <v>18</v>
      </c>
      <c r="D22">
        <v>1860700</v>
      </c>
      <c r="E22">
        <v>7.9732869319999997</v>
      </c>
      <c r="F22">
        <v>42.46223706</v>
      </c>
      <c r="G22">
        <v>727514</v>
      </c>
      <c r="H22">
        <v>2.557656674</v>
      </c>
      <c r="I22">
        <v>2553.3440721649999</v>
      </c>
      <c r="J22">
        <v>5800677.8690177696</v>
      </c>
      <c r="K22">
        <v>0.14583696900000001</v>
      </c>
      <c r="L22">
        <v>845953.27919999999</v>
      </c>
      <c r="M22">
        <v>4</v>
      </c>
      <c r="N22">
        <v>3571711.7473920002</v>
      </c>
      <c r="O22">
        <v>17133.2</v>
      </c>
      <c r="P22">
        <v>160877.30666666699</v>
      </c>
    </row>
  </sheetData>
  <hyperlinks>
    <hyperlink ref="B1" r:id="rId1" xr:uid="{5A5FFDFA-F298-4E93-8D21-CA4053D3D641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regression</vt:lpstr>
      <vt:lpstr>input &gt;&gt;</vt:lpstr>
      <vt:lpstr>Route Statistics_D1_D2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Aden Yacobi</dc:creator>
  <cp:lastModifiedBy>Yacobi, Aden D</cp:lastModifiedBy>
  <dcterms:created xsi:type="dcterms:W3CDTF">2026-02-24T08:18:15Z</dcterms:created>
  <dcterms:modified xsi:type="dcterms:W3CDTF">2026-02-24T20:49:33Z</dcterms:modified>
</cp:coreProperties>
</file>